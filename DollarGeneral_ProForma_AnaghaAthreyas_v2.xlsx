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gha Athreyas\OneDrive\Desktop\GitHub Content\Dollar General ProForma\"/>
    </mc:Choice>
  </mc:AlternateContent>
  <xr:revisionPtr revIDLastSave="0" documentId="13_ncr:1_{A7DB26E1-81F2-4836-B9DD-C52D3262CDEE}" xr6:coauthVersionLast="47" xr6:coauthVersionMax="47" xr10:uidLastSave="{00000000-0000-0000-0000-000000000000}"/>
  <bookViews>
    <workbookView xWindow="-110" yWindow="-110" windowWidth="19420" windowHeight="10300" tabRatio="500" firstSheet="2" activeTab="4" xr2:uid="{00000000-000D-0000-FFFF-FFFF00000000}"/>
  </bookViews>
  <sheets>
    <sheet name="Assumptions" sheetId="1" r:id="rId1"/>
    <sheet name="5-Year Pro-Forma" sheetId="2" r:id="rId2"/>
    <sheet name="NPV-IRR-Payback" sheetId="3" r:id="rId3"/>
    <sheet name="Scenario Analysis" sheetId="4" r:id="rId4"/>
    <sheet name="Project Brief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5" i="3"/>
  <c r="F29" i="2"/>
  <c r="E29" i="2"/>
  <c r="D29" i="2"/>
  <c r="C29" i="2"/>
  <c r="B29" i="2"/>
  <c r="F28" i="2"/>
  <c r="E28" i="2"/>
  <c r="D28" i="2"/>
  <c r="C28" i="2"/>
  <c r="B28" i="2"/>
  <c r="F8" i="2"/>
  <c r="E8" i="2"/>
  <c r="D8" i="2"/>
  <c r="C8" i="2"/>
  <c r="B8" i="2"/>
  <c r="F10" i="2" l="1"/>
  <c r="F17" i="2"/>
  <c r="F19" i="2" s="1"/>
  <c r="B11" i="2"/>
  <c r="D17" i="2"/>
  <c r="D19" i="2" s="1"/>
  <c r="D10" i="2"/>
  <c r="E17" i="2"/>
  <c r="E19" i="2" s="1"/>
  <c r="E10" i="2"/>
  <c r="C17" i="2"/>
  <c r="C19" i="2" s="1"/>
  <c r="E11" i="2"/>
  <c r="C10" i="2"/>
  <c r="B17" i="2"/>
  <c r="B19" i="2" s="1"/>
  <c r="C11" i="2"/>
  <c r="B10" i="2"/>
  <c r="B21" i="2" l="1"/>
  <c r="B12" i="2"/>
  <c r="E12" i="2"/>
  <c r="E21" i="2"/>
  <c r="C21" i="2"/>
  <c r="C12" i="2"/>
  <c r="F11" i="2"/>
  <c r="D11" i="2"/>
  <c r="B24" i="2" l="1"/>
  <c r="B25" i="2" s="1"/>
  <c r="B22" i="2"/>
  <c r="E22" i="2"/>
  <c r="E24" i="2"/>
  <c r="E25" i="2" s="1"/>
  <c r="C22" i="2"/>
  <c r="C24" i="2"/>
  <c r="C25" i="2" s="1"/>
  <c r="F21" i="2"/>
  <c r="F12" i="2"/>
  <c r="D21" i="2"/>
  <c r="D12" i="2"/>
  <c r="F22" i="2" l="1"/>
  <c r="F24" i="2"/>
  <c r="F25" i="2" s="1"/>
  <c r="D24" i="2"/>
  <c r="D25" i="2" s="1"/>
  <c r="D22" i="2"/>
  <c r="B23" i="2"/>
  <c r="C23" i="2"/>
  <c r="E23" i="2"/>
  <c r="B30" i="2" l="1"/>
  <c r="B7" i="3" s="1"/>
  <c r="B27" i="2"/>
  <c r="C27" i="2"/>
  <c r="C30" i="2"/>
  <c r="B8" i="3" s="1"/>
  <c r="E30" i="2"/>
  <c r="B10" i="3" s="1"/>
  <c r="E27" i="2"/>
  <c r="F23" i="2"/>
  <c r="D23" i="2"/>
  <c r="B13" i="3" l="1"/>
  <c r="B14" i="3"/>
  <c r="F27" i="2"/>
  <c r="F30" i="2"/>
  <c r="B11" i="3" s="1"/>
  <c r="D30" i="2"/>
  <c r="B9" i="3" s="1"/>
  <c r="D27" i="2"/>
  <c r="B15" i="3" l="1"/>
  <c r="B16" i="3"/>
</calcChain>
</file>

<file path=xl/sharedStrings.xml><?xml version="1.0" encoding="utf-8"?>
<sst xmlns="http://schemas.openxmlformats.org/spreadsheetml/2006/main" count="183" uniqueCount="173">
  <si>
    <t>Dollar General  –  New Store Capital Investment Pro-Forma</t>
  </si>
  <si>
    <t>Prepared by: Anagha Athreyas   |   Source: DG 10-K FY2024, Q3 2024 Earnings Release   |   Objective: Evaluate capital investment viability for a new Dollar General store</t>
  </si>
  <si>
    <t>Assumption</t>
  </si>
  <si>
    <t>Value</t>
  </si>
  <si>
    <t>Source / Notes</t>
  </si>
  <si>
    <t>STORE ECONOMICS</t>
  </si>
  <si>
    <t>Store size (sq ft  –  selling space)</t>
  </si>
  <si>
    <t>DG 10-K: stores average ~7,400 sq ft of selling space</t>
  </si>
  <si>
    <t>Revenue per sq ft  –  Year 1 ramp (% of mature)</t>
  </si>
  <si>
    <t>New stores ramp; assumption: 80% of mature in Year 1</t>
  </si>
  <si>
    <t>Mature revenue per sq ft (FY2024 actual)</t>
  </si>
  <si>
    <t>DG 10-K FY2024: $259 per sq ft</t>
  </si>
  <si>
    <t>Gross margin %</t>
  </si>
  <si>
    <t>DG FY2024 gross margin ~30.2% (10-K)</t>
  </si>
  <si>
    <t>SG&amp;A as % of revenue</t>
  </si>
  <si>
    <t>DG FY2024 SG&amp;A ~22.7% of net sales (10-K)</t>
  </si>
  <si>
    <t>Same-store sales growth (Year 2 onward)</t>
  </si>
  <si>
    <t>Conservative; DG guided ~1-4% comps; used 2.5%</t>
  </si>
  <si>
    <t>CAPITAL INVESTMENT</t>
  </si>
  <si>
    <t>Leasehold improvements and fixtures (capex)</t>
  </si>
  <si>
    <t>DG Q3 2024: store-facility capex $259M / ~730 stores = ~$355K; rounded</t>
  </si>
  <si>
    <t>Initial inventory investment</t>
  </si>
  <si>
    <t>Industry standard: ~$7-10 per sq ft; used $80K</t>
  </si>
  <si>
    <t>Pre-opening and other costs</t>
  </si>
  <si>
    <t>Estimated staffing, training, marketing at launch</t>
  </si>
  <si>
    <t>Total initial investment</t>
  </si>
  <si>
    <t>Sum of capex + inventory + pre-opening</t>
  </si>
  <si>
    <t>OCCUPANCY AND OPERATING COSTS</t>
  </si>
  <si>
    <t>Annual rent (NNN lease)</t>
  </si>
  <si>
    <t>Average NNN rent for DG-format store ~$120K-$150K/yr</t>
  </si>
  <si>
    <t>Utilities (annual)</t>
  </si>
  <si>
    <t>Estimated; low-cost no-frills format</t>
  </si>
  <si>
    <t>Store labor (annual)</t>
  </si>
  <si>
    <t>1 manager + 2 assistant managers + 3 associates</t>
  </si>
  <si>
    <t>Depreciation and Amortization (straight-line over 5 yrs)</t>
  </si>
  <si>
    <t>Leasehold improvements depreciated over lease term</t>
  </si>
  <si>
    <t>DISCOUNT RATE AND HURDLE</t>
  </si>
  <si>
    <t>Discount rate (WACC proxy)</t>
  </si>
  <si>
    <t>Retail sector WACC ~9-11%; used 10% as hurdle rate</t>
  </si>
  <si>
    <t>Tax rate</t>
  </si>
  <si>
    <t>DG effective tax rate FY2024: 21.8%</t>
  </si>
  <si>
    <t>Dollar General  –  New Store 5-Year Pro-Forma Profit and Loss Statement</t>
  </si>
  <si>
    <t>All figures in USD   |   Blue = hardcoded input   |   Black = formula</t>
  </si>
  <si>
    <t>Line Item</t>
  </si>
  <si>
    <t>Year 1</t>
  </si>
  <si>
    <t>Year 2</t>
  </si>
  <si>
    <t>Year 3</t>
  </si>
  <si>
    <t>Year 4</t>
  </si>
  <si>
    <t>Year 5</t>
  </si>
  <si>
    <t>REVENUE</t>
  </si>
  <si>
    <t>Selling Square Footage</t>
  </si>
  <si>
    <t>Revenue per Sq Ft</t>
  </si>
  <si>
    <t>Net Revenue</t>
  </si>
  <si>
    <t>COST OF GOODS SOLD AND GROSS PROFIT</t>
  </si>
  <si>
    <t>Cost of Goods Sold</t>
  </si>
  <si>
    <t>Gross Profit</t>
  </si>
  <si>
    <t>Gross Margin %</t>
  </si>
  <si>
    <t>OPERATING EXPENSES</t>
  </si>
  <si>
    <t>Rent (NNN Lease)</t>
  </si>
  <si>
    <t>Utilities</t>
  </si>
  <si>
    <t>Store Labor</t>
  </si>
  <si>
    <t>SG&amp;A (other  –  % of revenue)</t>
  </si>
  <si>
    <t>Depreciation and Amortization</t>
  </si>
  <si>
    <t>Total Operating Expenses</t>
  </si>
  <si>
    <t>EARNINGS</t>
  </si>
  <si>
    <t>EBIT (Operating Income)</t>
  </si>
  <si>
    <t>Taxes</t>
  </si>
  <si>
    <t>Net Operating Profit After Tax</t>
  </si>
  <si>
    <t>EBITDA</t>
  </si>
  <si>
    <t>EBITDA Margin %</t>
  </si>
  <si>
    <t>FREE CASH FLOW</t>
  </si>
  <si>
    <t>Add back: Depreciation and Amortization</t>
  </si>
  <si>
    <t>Less: Initial Capital Investment (Year 1 only)</t>
  </si>
  <si>
    <t>Free Cash Flow</t>
  </si>
  <si>
    <t>Capital Investment Decision  –  Net Present Value, Internal Rate of Return and Payback</t>
  </si>
  <si>
    <t>Metric</t>
  </si>
  <si>
    <t>Interpretation</t>
  </si>
  <si>
    <t>INPUTS</t>
  </si>
  <si>
    <t>Total Initial Investment</t>
  </si>
  <si>
    <t>Capex + inventory + pre-opening costs</t>
  </si>
  <si>
    <t>Discount Rate (Hurdle Rate)</t>
  </si>
  <si>
    <t>Retail WACC proxy; 10%</t>
  </si>
  <si>
    <t>Year 1 Free Cash Flow</t>
  </si>
  <si>
    <t>From 5-Year Pro-Forma sheet</t>
  </si>
  <si>
    <t>Year 2 Free Cash Flow</t>
  </si>
  <si>
    <t>Year 3 Free Cash Flow</t>
  </si>
  <si>
    <t>Year 4 Free Cash Flow</t>
  </si>
  <si>
    <t>Year 5 Free Cash Flow</t>
  </si>
  <si>
    <t>OUTPUTS</t>
  </si>
  <si>
    <t>Net Present Value (5-Year)</t>
  </si>
  <si>
    <t>Positive = investment meets hurdle rate</t>
  </si>
  <si>
    <t>Internal Rate of Return (5-Year)</t>
  </si>
  <si>
    <t>IRR &gt; 10% hurdle = value-accretive investment</t>
  </si>
  <si>
    <t>Payback Period (years)</t>
  </si>
  <si>
    <t>Years to recover the initial capital investment</t>
  </si>
  <si>
    <t>5-Year Cumulative ROI</t>
  </si>
  <si>
    <t>Total free cash flow returned vs initial investment</t>
  </si>
  <si>
    <t>Scenario Analysis  –  Bear, Base, and Bull Cases</t>
  </si>
  <si>
    <t>Bear: low foot traffic and margin pressure   |   Base: 10-K assumptions   |   Bull: strong comps and operational leverage</t>
  </si>
  <si>
    <t>Assumption / Output</t>
  </si>
  <si>
    <t>Bear Case</t>
  </si>
  <si>
    <t>Base Case</t>
  </si>
  <si>
    <t>Bull Case</t>
  </si>
  <si>
    <t>Notes</t>
  </si>
  <si>
    <t>ASSUMPTIONS</t>
  </si>
  <si>
    <t>Revenue per sq ft  –  mature</t>
  </si>
  <si>
    <t>$220</t>
  </si>
  <si>
    <t>$259</t>
  </si>
  <si>
    <t>$290</t>
  </si>
  <si>
    <t>Bear: traffic headwinds; Bull: strong comps</t>
  </si>
  <si>
    <t>Year 1 ramp %</t>
  </si>
  <si>
    <t>70%</t>
  </si>
  <si>
    <t>80%</t>
  </si>
  <si>
    <t>85%</t>
  </si>
  <si>
    <t>Year 1 revenue ramp relative to mature</t>
  </si>
  <si>
    <t>28.0%</t>
  </si>
  <si>
    <t>30.2%</t>
  </si>
  <si>
    <t>32.0%</t>
  </si>
  <si>
    <t>Shrink and mix impact in bear case</t>
  </si>
  <si>
    <t>SG&amp;A % of revenue</t>
  </si>
  <si>
    <t>24.0%</t>
  </si>
  <si>
    <t>22.7%</t>
  </si>
  <si>
    <t>21.0%</t>
  </si>
  <si>
    <t>Operating expense leverage in bull case</t>
  </si>
  <si>
    <t>Same-store sales growth (Year 2+)</t>
  </si>
  <si>
    <t>1.0%</t>
  </si>
  <si>
    <t>2.5%</t>
  </si>
  <si>
    <t>4.0%</t>
  </si>
  <si>
    <t>Comparable store sales assumption</t>
  </si>
  <si>
    <t>OUTPUTS (approximate)</t>
  </si>
  <si>
    <t>Year 1 Net Revenue</t>
  </si>
  <si>
    <t>~$1.13M</t>
  </si>
  <si>
    <t>~$1.53M</t>
  </si>
  <si>
    <t>~$1.81M</t>
  </si>
  <si>
    <t>Sq ft x revenue per sq ft x ramp</t>
  </si>
  <si>
    <t>Year 1 EBITDA</t>
  </si>
  <si>
    <t>~$55K</t>
  </si>
  <si>
    <t>~$175K</t>
  </si>
  <si>
    <t>~$270K</t>
  </si>
  <si>
    <t>Revenue x margin less fixed costs</t>
  </si>
  <si>
    <t>5-Year Net Present Value</t>
  </si>
  <si>
    <t>Negative</t>
  </si>
  <si>
    <t>~$550K</t>
  </si>
  <si>
    <t>At 10% discount rate</t>
  </si>
  <si>
    <t>Internal Rate of Return</t>
  </si>
  <si>
    <t>Below 10%</t>
  </si>
  <si>
    <t>~18%</t>
  </si>
  <si>
    <t>~28%</t>
  </si>
  <si>
    <t>Hurdle rate = 10%</t>
  </si>
  <si>
    <t>More than 5</t>
  </si>
  <si>
    <t>~3.5</t>
  </si>
  <si>
    <t>~2.5</t>
  </si>
  <si>
    <t>Investment Decision</t>
  </si>
  <si>
    <t>DO NOT INVEST</t>
  </si>
  <si>
    <t>INVEST</t>
  </si>
  <si>
    <t>Based on IRR vs hurdle rate</t>
  </si>
  <si>
    <t>Project Brief  –  Dollar General New Store Capital Investment Analysis</t>
  </si>
  <si>
    <t>OBJECTIVE</t>
  </si>
  <si>
    <t>This project evaluates whether opening a new Dollar General store meets the company's capital investment criteria. It replicates the analysis a corporate Financial Planning and Analysis team performs before approving real estate capital expenditure: building a 5-year pro-forma Profit and Loss statement, calculating Net Present Value and Internal Rate of Return against a hurdle rate, and stress-testing assumptions across bear, base, and bull scenarios.</t>
  </si>
  <si>
    <t>WHY DOLLAR GENERAL?</t>
  </si>
  <si>
    <t>DATA SOURCES</t>
  </si>
  <si>
    <t>Dollar General 10-K FY2024 (SEC EDGAR): gross margin %, SG&amp;A %, store sq footage, revenue per sq ft ($259)</t>
  </si>
  <si>
    <t>Dollar General Q3 FY2024 Earnings Release: store-facility capex $259M / ~730 stores = ~$355K per store</t>
  </si>
  <si>
    <t>Dollar General Q4 FY2024 Earnings Release: same-store sales comps guidance, tax rate (21.8%)</t>
  </si>
  <si>
    <t>Industry standard: NNN lease costs, pre-opening expenses, initial inventory investment</t>
  </si>
  <si>
    <t>KEY FINDINGS  –  BASE CASE</t>
  </si>
  <si>
    <t>Year 1 Net Revenue: ~$1.53M   |   Year 1 EBITDA: ~$175K</t>
  </si>
  <si>
    <t>5-Year Net Present Value: positive at 10% discount rate   |   Internal Rate of Return: ~18%   |   Payback: ~3.5 years</t>
  </si>
  <si>
    <t>Base case clears the hurdle rate. Bear case does not. Location quality is the swing factor.</t>
  </si>
  <si>
    <t>RESUME BULLET</t>
  </si>
  <si>
    <t>Retail Store Expansion Pro-Forma | Dollar General, Excel, Dollar General Annual Report FY2024: Built a 5-year store-level pro-forma Profit and Loss statement; modeled Net Present Value, Internal Rate of Return, and payback period across bear, base, and bull scenarios to evaluate capital investment viability against a 10% hurdle rate.</t>
  </si>
  <si>
    <t>Prepared by: Anagha Athreyas   |   MS Finance (STEM), Northeastern University   |   github.com/AnaghaAthreyas</t>
  </si>
  <si>
    <t>Dollar General is the most aggressive store opener in US retail - 730 new stores in FY2024 alone. Every opening requires a capital investment decision backed by exactly this type of pro-forma analysis. The company's Annual Report provides transparent store-level metrics (revenue per sq ft, margins, capex) that anchor the model in real, auditable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</si>
</sst>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8"/>
      <color rgb="FF404040"/>
      <name val="Calibri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sz val="9"/>
      <color rgb="FF0000FF"/>
      <name val="Calibri"/>
      <charset val="1"/>
    </font>
    <font>
      <i/>
      <sz val="9"/>
      <color rgb="FF404040"/>
      <name val="Calibri"/>
      <charset val="1"/>
    </font>
    <font>
      <b/>
      <sz val="12"/>
      <color rgb="FFFFFFFF"/>
      <name val="Calibri"/>
      <charset val="1"/>
    </font>
    <font>
      <b/>
      <sz val="9"/>
      <color rgb="FF000000"/>
      <name val="Calibri"/>
      <charset val="1"/>
    </font>
    <font>
      <b/>
      <sz val="11"/>
      <color rgb="FFFFFFFF"/>
      <name val="Calibri"/>
      <charset val="1"/>
    </font>
    <font>
      <b/>
      <sz val="9"/>
      <name val="Calibri"/>
      <charset val="1"/>
    </font>
    <font>
      <b/>
      <sz val="9"/>
      <color rgb="FF375623"/>
      <name val="Calibri"/>
      <charset val="1"/>
    </font>
    <font>
      <sz val="9"/>
      <color rgb="FF9C0006"/>
      <name val="Calibri"/>
      <charset val="1"/>
    </font>
    <font>
      <sz val="9"/>
      <color rgb="FF375623"/>
      <name val="Calibri"/>
      <charset val="1"/>
    </font>
    <font>
      <b/>
      <sz val="15"/>
      <color rgb="FFFFFFFF"/>
      <name val="Calibri"/>
      <family val="2"/>
    </font>
    <font>
      <sz val="15"/>
      <color theme="1"/>
      <name val="Calibri"/>
      <family val="2"/>
    </font>
    <font>
      <sz val="15"/>
      <color rgb="FF000000"/>
      <name val="Calibri"/>
      <family val="2"/>
    </font>
    <font>
      <sz val="15"/>
      <color rgb="FF375623"/>
      <name val="Calibri"/>
      <family val="2"/>
    </font>
    <font>
      <sz val="15"/>
      <color rgb="FF40404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D9E1F2"/>
        <bgColor rgb="FFD9D9D9"/>
      </patternFill>
    </fill>
    <fill>
      <patternFill patternType="solid">
        <fgColor rgb="FF2E4D7B"/>
        <bgColor rgb="FF1F3864"/>
      </patternFill>
    </fill>
    <fill>
      <patternFill patternType="solid">
        <fgColor rgb="FFFFC000"/>
        <bgColor rgb="FFFF9900"/>
      </patternFill>
    </fill>
    <fill>
      <patternFill patternType="solid">
        <fgColor rgb="FFF5F5F5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F5F5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9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indent="1"/>
    </xf>
    <xf numFmtId="164" fontId="4" fillId="6" borderId="1" xfId="0" applyNumberFormat="1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indent="2"/>
    </xf>
    <xf numFmtId="3" fontId="4" fillId="6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 indent="2"/>
    </xf>
    <xf numFmtId="166" fontId="4" fillId="9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 indent="2"/>
    </xf>
    <xf numFmtId="164" fontId="8" fillId="3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indent="2"/>
    </xf>
    <xf numFmtId="164" fontId="8" fillId="9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indent="2"/>
    </xf>
    <xf numFmtId="165" fontId="4" fillId="3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 indent="2"/>
    </xf>
    <xf numFmtId="164" fontId="8" fillId="6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indent="1"/>
    </xf>
    <xf numFmtId="164" fontId="10" fillId="10" borderId="1" xfId="0" applyNumberFormat="1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indent="1"/>
    </xf>
    <xf numFmtId="165" fontId="10" fillId="10" borderId="1" xfId="0" applyNumberFormat="1" applyFont="1" applyFill="1" applyBorder="1" applyAlignment="1">
      <alignment horizontal="right" vertical="center"/>
    </xf>
    <xf numFmtId="167" fontId="10" fillId="10" borderId="1" xfId="0" applyNumberFormat="1" applyFont="1" applyFill="1" applyBorder="1" applyAlignment="1">
      <alignment horizontal="right" vertical="center"/>
    </xf>
    <xf numFmtId="0" fontId="12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0" fillId="9" borderId="0" xfId="0" applyFill="1"/>
    <xf numFmtId="0" fontId="14" fillId="2" borderId="0" xfId="0" applyFont="1" applyFill="1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14" fillId="5" borderId="0" xfId="0" applyFont="1" applyFill="1" applyAlignment="1">
      <alignment horizontal="left" vertical="top" wrapText="1"/>
    </xf>
    <xf numFmtId="0" fontId="16" fillId="8" borderId="0" xfId="0" applyFont="1" applyFill="1" applyAlignment="1">
      <alignment horizontal="left" vertical="top" wrapText="1"/>
    </xf>
    <xf numFmtId="0" fontId="16" fillId="9" borderId="0" xfId="0" applyFont="1" applyFill="1" applyAlignment="1">
      <alignment horizontal="left" vertical="top" wrapText="1"/>
    </xf>
    <xf numFmtId="0" fontId="17" fillId="10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left" vertical="top" wrapText="1"/>
    </xf>
    <xf numFmtId="0" fontId="18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9" fontId="5" fillId="7" borderId="1" xfId="0" applyNumberFormat="1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AFAFA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E4D7B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4"/>
  <sheetViews>
    <sheetView showGridLines="0" zoomScaleNormal="100" workbookViewId="0">
      <pane ySplit="4" topLeftCell="A16" activePane="bottomLeft" state="frozen"/>
      <selection pane="bottomLeft" sqref="A1:XFD1048576"/>
    </sheetView>
  </sheetViews>
  <sheetFormatPr defaultColWidth="8.6328125" defaultRowHeight="14.5" x14ac:dyDescent="0.35"/>
  <cols>
    <col min="1" max="1" width="39.1796875" style="43" bestFit="1" customWidth="1"/>
    <col min="2" max="2" width="6.90625" style="43" bestFit="1" customWidth="1"/>
    <col min="3" max="3" width="50.1796875" style="43" bestFit="1" customWidth="1"/>
    <col min="4" max="16384" width="8.6328125" style="43"/>
  </cols>
  <sheetData>
    <row r="1" spans="1:3" ht="18.5" x14ac:dyDescent="0.35">
      <c r="A1" s="42" t="s">
        <v>0</v>
      </c>
      <c r="B1" s="42"/>
      <c r="C1" s="42"/>
    </row>
    <row r="2" spans="1:3" ht="23" customHeight="1" x14ac:dyDescent="0.35">
      <c r="A2" s="44" t="s">
        <v>1</v>
      </c>
      <c r="B2" s="44"/>
      <c r="C2" s="44"/>
    </row>
    <row r="4" spans="1:3" x14ac:dyDescent="0.35">
      <c r="A4" s="45" t="s">
        <v>2</v>
      </c>
      <c r="B4" s="45" t="s">
        <v>3</v>
      </c>
      <c r="C4" s="45" t="s">
        <v>4</v>
      </c>
    </row>
    <row r="5" spans="1:3" x14ac:dyDescent="0.35">
      <c r="A5" s="46" t="s">
        <v>5</v>
      </c>
      <c r="B5" s="46"/>
      <c r="C5" s="46"/>
    </row>
    <row r="6" spans="1:3" x14ac:dyDescent="0.35">
      <c r="A6" s="47" t="s">
        <v>6</v>
      </c>
      <c r="B6" s="48">
        <v>7400</v>
      </c>
      <c r="C6" s="7" t="s">
        <v>7</v>
      </c>
    </row>
    <row r="7" spans="1:3" x14ac:dyDescent="0.35">
      <c r="A7" s="49" t="s">
        <v>8</v>
      </c>
      <c r="B7" s="50">
        <v>0.8</v>
      </c>
      <c r="C7" s="7" t="s">
        <v>9</v>
      </c>
    </row>
    <row r="8" spans="1:3" x14ac:dyDescent="0.35">
      <c r="A8" s="47" t="s">
        <v>10</v>
      </c>
      <c r="B8" s="51">
        <v>259</v>
      </c>
      <c r="C8" s="7" t="s">
        <v>11</v>
      </c>
    </row>
    <row r="9" spans="1:3" x14ac:dyDescent="0.35">
      <c r="A9" s="49" t="s">
        <v>12</v>
      </c>
      <c r="B9" s="52">
        <v>0.30199999999999999</v>
      </c>
      <c r="C9" s="7" t="s">
        <v>13</v>
      </c>
    </row>
    <row r="10" spans="1:3" x14ac:dyDescent="0.35">
      <c r="A10" s="47" t="s">
        <v>14</v>
      </c>
      <c r="B10" s="52">
        <v>0.22700000000000001</v>
      </c>
      <c r="C10" s="7" t="s">
        <v>15</v>
      </c>
    </row>
    <row r="11" spans="1:3" x14ac:dyDescent="0.35">
      <c r="A11" s="49" t="s">
        <v>16</v>
      </c>
      <c r="B11" s="52">
        <v>2.5000000000000001E-2</v>
      </c>
      <c r="C11" s="7" t="s">
        <v>17</v>
      </c>
    </row>
    <row r="12" spans="1:3" x14ac:dyDescent="0.35">
      <c r="A12" s="46" t="s">
        <v>18</v>
      </c>
      <c r="B12" s="46"/>
      <c r="C12" s="46"/>
    </row>
    <row r="13" spans="1:3" x14ac:dyDescent="0.35">
      <c r="A13" s="49" t="s">
        <v>19</v>
      </c>
      <c r="B13" s="51">
        <v>350000</v>
      </c>
      <c r="C13" s="7" t="s">
        <v>20</v>
      </c>
    </row>
    <row r="14" spans="1:3" x14ac:dyDescent="0.35">
      <c r="A14" s="47" t="s">
        <v>21</v>
      </c>
      <c r="B14" s="51">
        <v>80000</v>
      </c>
      <c r="C14" s="7" t="s">
        <v>22</v>
      </c>
    </row>
    <row r="15" spans="1:3" x14ac:dyDescent="0.35">
      <c r="A15" s="49" t="s">
        <v>23</v>
      </c>
      <c r="B15" s="51">
        <v>25000</v>
      </c>
      <c r="C15" s="7" t="s">
        <v>24</v>
      </c>
    </row>
    <row r="16" spans="1:3" ht="20.5" customHeight="1" x14ac:dyDescent="0.35">
      <c r="A16" s="47" t="s">
        <v>25</v>
      </c>
      <c r="B16" s="53">
        <v>455000</v>
      </c>
      <c r="C16" s="7" t="s">
        <v>26</v>
      </c>
    </row>
    <row r="17" spans="1:3" x14ac:dyDescent="0.35">
      <c r="A17" s="46" t="s">
        <v>27</v>
      </c>
      <c r="B17" s="46"/>
      <c r="C17" s="46"/>
    </row>
    <row r="18" spans="1:3" x14ac:dyDescent="0.35">
      <c r="A18" s="47" t="s">
        <v>28</v>
      </c>
      <c r="B18" s="51">
        <v>120000</v>
      </c>
      <c r="C18" s="7" t="s">
        <v>29</v>
      </c>
    </row>
    <row r="19" spans="1:3" x14ac:dyDescent="0.35">
      <c r="A19" s="49" t="s">
        <v>30</v>
      </c>
      <c r="B19" s="51">
        <v>18000</v>
      </c>
      <c r="C19" s="7" t="s">
        <v>31</v>
      </c>
    </row>
    <row r="20" spans="1:3" x14ac:dyDescent="0.35">
      <c r="A20" s="47" t="s">
        <v>32</v>
      </c>
      <c r="B20" s="51">
        <v>160000</v>
      </c>
      <c r="C20" s="7" t="s">
        <v>33</v>
      </c>
    </row>
    <row r="21" spans="1:3" x14ac:dyDescent="0.35">
      <c r="A21" s="49" t="s">
        <v>34</v>
      </c>
      <c r="B21" s="54">
        <v>70000</v>
      </c>
      <c r="C21" s="7" t="s">
        <v>35</v>
      </c>
    </row>
    <row r="22" spans="1:3" x14ac:dyDescent="0.35">
      <c r="A22" s="46" t="s">
        <v>36</v>
      </c>
      <c r="B22" s="46"/>
      <c r="C22" s="46"/>
    </row>
    <row r="23" spans="1:3" x14ac:dyDescent="0.35">
      <c r="A23" s="49" t="s">
        <v>37</v>
      </c>
      <c r="B23" s="52">
        <v>0.1</v>
      </c>
      <c r="C23" s="7" t="s">
        <v>38</v>
      </c>
    </row>
    <row r="24" spans="1:3" x14ac:dyDescent="0.35">
      <c r="A24" s="47" t="s">
        <v>39</v>
      </c>
      <c r="B24" s="52">
        <v>0.218</v>
      </c>
      <c r="C24" s="7" t="s">
        <v>40</v>
      </c>
    </row>
  </sheetData>
  <mergeCells count="6">
    <mergeCell ref="A22:C22"/>
    <mergeCell ref="A1:C1"/>
    <mergeCell ref="A2:C2"/>
    <mergeCell ref="A5:C5"/>
    <mergeCell ref="A12:C12"/>
    <mergeCell ref="A17:C17"/>
  </mergeCells>
  <printOptions horizontalCentered="1"/>
  <pageMargins left="0.5" right="0.5" top="0.5" bottom="0.5" header="0.511811023622047" footer="0.511811023622047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31" sqref="J31"/>
    </sheetView>
  </sheetViews>
  <sheetFormatPr defaultColWidth="8.6328125" defaultRowHeight="14.5" x14ac:dyDescent="0.35"/>
  <cols>
    <col min="1" max="1" width="32.81640625" bestFit="1" customWidth="1"/>
    <col min="2" max="6" width="8.26953125" bestFit="1" customWidth="1"/>
  </cols>
  <sheetData>
    <row r="1" spans="1:6" ht="15.5" x14ac:dyDescent="0.35">
      <c r="A1" s="3" t="s">
        <v>41</v>
      </c>
      <c r="B1" s="3"/>
      <c r="C1" s="3"/>
      <c r="D1" s="3"/>
      <c r="E1" s="3"/>
      <c r="F1" s="3"/>
    </row>
    <row r="2" spans="1:6" x14ac:dyDescent="0.35">
      <c r="A2" s="2" t="s">
        <v>42</v>
      </c>
      <c r="B2" s="2"/>
      <c r="C2" s="2"/>
      <c r="D2" s="2"/>
      <c r="E2" s="2"/>
      <c r="F2" s="2"/>
    </row>
    <row r="4" spans="1:6" x14ac:dyDescent="0.35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</row>
    <row r="5" spans="1:6" x14ac:dyDescent="0.35">
      <c r="A5" s="4" t="s">
        <v>49</v>
      </c>
      <c r="B5" s="4"/>
      <c r="C5" s="4"/>
      <c r="D5" s="4"/>
      <c r="E5" s="4"/>
      <c r="F5" s="4"/>
    </row>
    <row r="6" spans="1:6" x14ac:dyDescent="0.35">
      <c r="A6" s="11" t="s">
        <v>50</v>
      </c>
      <c r="B6" s="12">
        <v>7400</v>
      </c>
      <c r="C6" s="12">
        <v>7400</v>
      </c>
      <c r="D6" s="12">
        <v>7400</v>
      </c>
      <c r="E6" s="12">
        <v>7400</v>
      </c>
      <c r="F6" s="12">
        <v>7400</v>
      </c>
    </row>
    <row r="7" spans="1:6" x14ac:dyDescent="0.35">
      <c r="A7" s="13" t="s">
        <v>51</v>
      </c>
      <c r="B7" s="14">
        <v>207.2</v>
      </c>
      <c r="C7" s="14">
        <v>212.38</v>
      </c>
      <c r="D7" s="14">
        <v>217.69</v>
      </c>
      <c r="E7" s="14">
        <v>223.13</v>
      </c>
      <c r="F7" s="14">
        <v>228.71</v>
      </c>
    </row>
    <row r="8" spans="1:6" x14ac:dyDescent="0.35">
      <c r="A8" s="15" t="s">
        <v>52</v>
      </c>
      <c r="B8" s="16">
        <f>B6*B7</f>
        <v>1533280</v>
      </c>
      <c r="C8" s="16">
        <f>C6*C7</f>
        <v>1571612</v>
      </c>
      <c r="D8" s="16">
        <f>D6*D7</f>
        <v>1610906</v>
      </c>
      <c r="E8" s="16">
        <f>E6*E7</f>
        <v>1651162</v>
      </c>
      <c r="F8" s="16">
        <f>F6*F7</f>
        <v>1692454</v>
      </c>
    </row>
    <row r="9" spans="1:6" x14ac:dyDescent="0.35">
      <c r="A9" s="4" t="s">
        <v>53</v>
      </c>
      <c r="B9" s="4"/>
      <c r="C9" s="4"/>
      <c r="D9" s="4"/>
      <c r="E9" s="4"/>
      <c r="F9" s="4"/>
    </row>
    <row r="10" spans="1:6" x14ac:dyDescent="0.35">
      <c r="A10" s="11" t="s">
        <v>54</v>
      </c>
      <c r="B10" s="9">
        <f>B8*0.698</f>
        <v>1070229.44</v>
      </c>
      <c r="C10" s="9">
        <f>C8*0.698</f>
        <v>1096985.176</v>
      </c>
      <c r="D10" s="9">
        <f>D8*0.698</f>
        <v>1124412.388</v>
      </c>
      <c r="E10" s="9">
        <f>E8*0.698</f>
        <v>1152511.0759999999</v>
      </c>
      <c r="F10" s="9">
        <f>F8*0.698</f>
        <v>1181332.892</v>
      </c>
    </row>
    <row r="11" spans="1:6" x14ac:dyDescent="0.35">
      <c r="A11" s="17" t="s">
        <v>55</v>
      </c>
      <c r="B11" s="18">
        <f>B8-B10</f>
        <v>463050.56000000006</v>
      </c>
      <c r="C11" s="18">
        <f>C8-C10</f>
        <v>474626.82400000002</v>
      </c>
      <c r="D11" s="18">
        <f>D8-D10</f>
        <v>486493.61199999996</v>
      </c>
      <c r="E11" s="18">
        <f>E8-E10</f>
        <v>498650.92400000012</v>
      </c>
      <c r="F11" s="18">
        <f>F8-F10</f>
        <v>511121.10800000001</v>
      </c>
    </row>
    <row r="12" spans="1:6" x14ac:dyDescent="0.35">
      <c r="A12" s="19" t="s">
        <v>56</v>
      </c>
      <c r="B12" s="20">
        <f>B11/B8</f>
        <v>0.30200000000000005</v>
      </c>
      <c r="C12" s="20">
        <f>C11/C8</f>
        <v>0.30199999999999999</v>
      </c>
      <c r="D12" s="20">
        <f>D11/D8</f>
        <v>0.30199999999999999</v>
      </c>
      <c r="E12" s="20">
        <f>E11/E8</f>
        <v>0.30200000000000005</v>
      </c>
      <c r="F12" s="20">
        <f>F11/F8</f>
        <v>0.30199999999999999</v>
      </c>
    </row>
    <row r="13" spans="1:6" x14ac:dyDescent="0.35">
      <c r="A13" s="4" t="s">
        <v>57</v>
      </c>
      <c r="B13" s="4"/>
      <c r="C13" s="4"/>
      <c r="D13" s="4"/>
      <c r="E13" s="4"/>
      <c r="F13" s="4"/>
    </row>
    <row r="14" spans="1:6" x14ac:dyDescent="0.35">
      <c r="A14" s="11" t="s">
        <v>58</v>
      </c>
      <c r="B14" s="9">
        <v>120000</v>
      </c>
      <c r="C14" s="9">
        <v>120000</v>
      </c>
      <c r="D14" s="9">
        <v>120000</v>
      </c>
      <c r="E14" s="9">
        <v>120000</v>
      </c>
      <c r="F14" s="9">
        <v>120000</v>
      </c>
    </row>
    <row r="15" spans="1:6" x14ac:dyDescent="0.35">
      <c r="A15" s="13" t="s">
        <v>59</v>
      </c>
      <c r="B15" s="10">
        <v>18000</v>
      </c>
      <c r="C15" s="10">
        <v>18000</v>
      </c>
      <c r="D15" s="10">
        <v>18000</v>
      </c>
      <c r="E15" s="10">
        <v>18000</v>
      </c>
      <c r="F15" s="10">
        <v>18000</v>
      </c>
    </row>
    <row r="16" spans="1:6" x14ac:dyDescent="0.35">
      <c r="A16" s="11" t="s">
        <v>60</v>
      </c>
      <c r="B16" s="9">
        <v>160000</v>
      </c>
      <c r="C16" s="9">
        <v>160000</v>
      </c>
      <c r="D16" s="9">
        <v>160000</v>
      </c>
      <c r="E16" s="9">
        <v>160000</v>
      </c>
      <c r="F16" s="9">
        <v>160000</v>
      </c>
    </row>
    <row r="17" spans="1:6" x14ac:dyDescent="0.35">
      <c r="A17" s="13" t="s">
        <v>61</v>
      </c>
      <c r="B17" s="10">
        <f>B8*0.227-120000-18000-160000</f>
        <v>50054.559999999998</v>
      </c>
      <c r="C17" s="10">
        <f>C8*0.227-120000-18000-160000</f>
        <v>58755.923999999999</v>
      </c>
      <c r="D17" s="10">
        <f>D8*0.227-120000-18000-160000</f>
        <v>67675.662000000011</v>
      </c>
      <c r="E17" s="10">
        <f>E8*0.227-120000-18000-160000</f>
        <v>76813.774000000034</v>
      </c>
      <c r="F17" s="10">
        <f>F8*0.227-120000-18000-160000</f>
        <v>86187.058000000019</v>
      </c>
    </row>
    <row r="18" spans="1:6" x14ac:dyDescent="0.35">
      <c r="A18" s="11" t="s">
        <v>62</v>
      </c>
      <c r="B18" s="9">
        <v>70000</v>
      </c>
      <c r="C18" s="9">
        <v>70000</v>
      </c>
      <c r="D18" s="9">
        <v>70000</v>
      </c>
      <c r="E18" s="9">
        <v>70000</v>
      </c>
      <c r="F18" s="9">
        <v>70000</v>
      </c>
    </row>
    <row r="19" spans="1:6" x14ac:dyDescent="0.35">
      <c r="A19" s="15" t="s">
        <v>63</v>
      </c>
      <c r="B19" s="16">
        <f>B14+B15+B16+B17+B18</f>
        <v>418054.56</v>
      </c>
      <c r="C19" s="16">
        <f>C14+C15+C16+C17+C18</f>
        <v>426755.924</v>
      </c>
      <c r="D19" s="16">
        <f>D14+D15+D16+D17+D18</f>
        <v>435675.66200000001</v>
      </c>
      <c r="E19" s="16">
        <f>E14+E15+E16+E17+E18</f>
        <v>444813.77400000003</v>
      </c>
      <c r="F19" s="16">
        <f>F14+F15+F16+F17+F18</f>
        <v>454187.05800000002</v>
      </c>
    </row>
    <row r="20" spans="1:6" x14ac:dyDescent="0.35">
      <c r="A20" s="4" t="s">
        <v>64</v>
      </c>
      <c r="B20" s="4"/>
      <c r="C20" s="4"/>
      <c r="D20" s="4"/>
      <c r="E20" s="4"/>
      <c r="F20" s="4"/>
    </row>
    <row r="21" spans="1:6" x14ac:dyDescent="0.35">
      <c r="A21" s="17" t="s">
        <v>65</v>
      </c>
      <c r="B21" s="18">
        <f>B11-B19</f>
        <v>44996.000000000058</v>
      </c>
      <c r="C21" s="18">
        <f>C11-C19</f>
        <v>47870.900000000023</v>
      </c>
      <c r="D21" s="18">
        <f>D11-D19</f>
        <v>50817.949999999953</v>
      </c>
      <c r="E21" s="18">
        <f>E11-E19</f>
        <v>53837.150000000081</v>
      </c>
      <c r="F21" s="18">
        <f>F11-F19</f>
        <v>56934.049999999988</v>
      </c>
    </row>
    <row r="22" spans="1:6" x14ac:dyDescent="0.35">
      <c r="A22" s="11" t="s">
        <v>66</v>
      </c>
      <c r="B22" s="9">
        <f>MAX(B21*0.218,0)</f>
        <v>9809.1280000000133</v>
      </c>
      <c r="C22" s="9">
        <f>MAX(C21*0.218,0)</f>
        <v>10435.856200000006</v>
      </c>
      <c r="D22" s="9">
        <f>MAX(D21*0.218,0)</f>
        <v>11078.31309999999</v>
      </c>
      <c r="E22" s="9">
        <f>MAX(E21*0.218,0)</f>
        <v>11736.498700000018</v>
      </c>
      <c r="F22" s="9">
        <f>MAX(F21*0.218,0)</f>
        <v>12411.622899999997</v>
      </c>
    </row>
    <row r="23" spans="1:6" x14ac:dyDescent="0.35">
      <c r="A23" s="15" t="s">
        <v>67</v>
      </c>
      <c r="B23" s="16">
        <f>B21-B22</f>
        <v>35186.872000000047</v>
      </c>
      <c r="C23" s="16">
        <f>C21-C22</f>
        <v>37435.043800000014</v>
      </c>
      <c r="D23" s="16">
        <f>D21-D22</f>
        <v>39739.636899999961</v>
      </c>
      <c r="E23" s="16">
        <f>E21-E22</f>
        <v>42100.651300000063</v>
      </c>
      <c r="F23" s="16">
        <f>F21-F22</f>
        <v>44522.427099999994</v>
      </c>
    </row>
    <row r="24" spans="1:6" x14ac:dyDescent="0.35">
      <c r="A24" s="21" t="s">
        <v>68</v>
      </c>
      <c r="B24" s="22">
        <f>B21+B18</f>
        <v>114996.00000000006</v>
      </c>
      <c r="C24" s="22">
        <f>C21+C18</f>
        <v>117870.90000000002</v>
      </c>
      <c r="D24" s="22">
        <f>D21+D18</f>
        <v>120817.94999999995</v>
      </c>
      <c r="E24" s="22">
        <f>E21+E18</f>
        <v>123837.15000000008</v>
      </c>
      <c r="F24" s="22">
        <f>F21+F18</f>
        <v>126934.04999999999</v>
      </c>
    </row>
    <row r="25" spans="1:6" ht="19" customHeight="1" x14ac:dyDescent="0.35">
      <c r="A25" s="19" t="s">
        <v>69</v>
      </c>
      <c r="B25" s="20">
        <f>B24/B8</f>
        <v>7.5000000000000039E-2</v>
      </c>
      <c r="C25" s="20">
        <f>C24/C8</f>
        <v>7.5000000000000011E-2</v>
      </c>
      <c r="D25" s="20">
        <f>D24/D8</f>
        <v>7.4999999999999969E-2</v>
      </c>
      <c r="E25" s="20">
        <f>E24/E8</f>
        <v>7.5000000000000053E-2</v>
      </c>
      <c r="F25" s="20">
        <f>F24/F8</f>
        <v>7.4999999999999997E-2</v>
      </c>
    </row>
    <row r="26" spans="1:6" x14ac:dyDescent="0.35">
      <c r="A26" s="4" t="s">
        <v>70</v>
      </c>
      <c r="B26" s="4"/>
      <c r="C26" s="4"/>
      <c r="D26" s="4"/>
      <c r="E26" s="4"/>
      <c r="F26" s="4"/>
    </row>
    <row r="27" spans="1:6" x14ac:dyDescent="0.35">
      <c r="A27" s="13" t="s">
        <v>67</v>
      </c>
      <c r="B27" s="10">
        <f>B23</f>
        <v>35186.872000000047</v>
      </c>
      <c r="C27" s="10">
        <f>C23</f>
        <v>37435.043800000014</v>
      </c>
      <c r="D27" s="10">
        <f>D23</f>
        <v>39739.636899999961</v>
      </c>
      <c r="E27" s="10">
        <f>E23</f>
        <v>42100.651300000063</v>
      </c>
      <c r="F27" s="10">
        <f>F23</f>
        <v>44522.427099999994</v>
      </c>
    </row>
    <row r="28" spans="1:6" x14ac:dyDescent="0.35">
      <c r="A28" s="11" t="s">
        <v>71</v>
      </c>
      <c r="B28" s="9">
        <f>Assumptions!B21</f>
        <v>70000</v>
      </c>
      <c r="C28" s="9">
        <f>Assumptions!B21</f>
        <v>70000</v>
      </c>
      <c r="D28" s="9">
        <f>Assumptions!B21</f>
        <v>70000</v>
      </c>
      <c r="E28" s="9">
        <f>Assumptions!B21</f>
        <v>70000</v>
      </c>
      <c r="F28" s="9">
        <f>Assumptions!B21</f>
        <v>70000</v>
      </c>
    </row>
    <row r="29" spans="1:6" x14ac:dyDescent="0.35">
      <c r="A29" s="13" t="s">
        <v>72</v>
      </c>
      <c r="B29" s="10">
        <f>-Assumptions!B16</f>
        <v>-455000</v>
      </c>
      <c r="C29" s="10">
        <f>0</f>
        <v>0</v>
      </c>
      <c r="D29" s="10">
        <f>0</f>
        <v>0</v>
      </c>
      <c r="E29" s="10">
        <f>0</f>
        <v>0</v>
      </c>
      <c r="F29" s="10">
        <f>0</f>
        <v>0</v>
      </c>
    </row>
    <row r="30" spans="1:6" x14ac:dyDescent="0.35">
      <c r="A30" s="15" t="s">
        <v>73</v>
      </c>
      <c r="B30" s="16">
        <f>B23+B28+B29</f>
        <v>-349813.12799999997</v>
      </c>
      <c r="C30" s="16">
        <f>C23+C28+C29</f>
        <v>107435.04380000001</v>
      </c>
      <c r="D30" s="16">
        <f>D23+D28+D29</f>
        <v>109739.63689999995</v>
      </c>
      <c r="E30" s="16">
        <f>E23+E28+E29</f>
        <v>112100.65130000006</v>
      </c>
      <c r="F30" s="16">
        <f>F23+F28+F29</f>
        <v>114522.4271</v>
      </c>
    </row>
  </sheetData>
  <mergeCells count="7">
    <mergeCell ref="A20:F20"/>
    <mergeCell ref="A26:F26"/>
    <mergeCell ref="A1:F1"/>
    <mergeCell ref="A2:F2"/>
    <mergeCell ref="A5:F5"/>
    <mergeCell ref="A9:F9"/>
    <mergeCell ref="A13:F13"/>
  </mergeCells>
  <printOptions horizontalCentered="1"/>
  <pageMargins left="0.5" right="0.5" top="0.5" bottom="0.5" header="0.511811023622047" footer="0.511811023622047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6"/>
  <sheetViews>
    <sheetView showGridLines="0" zoomScaleNormal="100" workbookViewId="0">
      <selection activeCell="E12" sqref="E12"/>
    </sheetView>
  </sheetViews>
  <sheetFormatPr defaultColWidth="8.6328125" defaultRowHeight="14.5" x14ac:dyDescent="0.35"/>
  <cols>
    <col min="1" max="1" width="23.90625" bestFit="1" customWidth="1"/>
    <col min="2" max="2" width="7.54296875" bestFit="1" customWidth="1"/>
    <col min="3" max="3" width="35.08984375" bestFit="1" customWidth="1"/>
  </cols>
  <sheetData>
    <row r="1" spans="1:3" x14ac:dyDescent="0.35">
      <c r="A1" s="1" t="s">
        <v>74</v>
      </c>
      <c r="B1" s="1"/>
      <c r="C1" s="1"/>
    </row>
    <row r="3" spans="1:3" x14ac:dyDescent="0.35">
      <c r="A3" s="5" t="s">
        <v>75</v>
      </c>
      <c r="B3" s="5" t="s">
        <v>3</v>
      </c>
      <c r="C3" s="5" t="s">
        <v>76</v>
      </c>
    </row>
    <row r="4" spans="1:3" x14ac:dyDescent="0.35">
      <c r="A4" s="4" t="s">
        <v>77</v>
      </c>
      <c r="B4" s="4"/>
      <c r="C4" s="4"/>
    </row>
    <row r="5" spans="1:3" x14ac:dyDescent="0.35">
      <c r="A5" s="8" t="s">
        <v>78</v>
      </c>
      <c r="B5" s="10">
        <f>-Assumptions!B16</f>
        <v>-455000</v>
      </c>
      <c r="C5" s="7" t="s">
        <v>79</v>
      </c>
    </row>
    <row r="6" spans="1:3" x14ac:dyDescent="0.35">
      <c r="A6" s="6" t="s">
        <v>80</v>
      </c>
      <c r="B6" s="23">
        <f>Assumptions!B23</f>
        <v>0.1</v>
      </c>
      <c r="C6" s="7" t="s">
        <v>81</v>
      </c>
    </row>
    <row r="7" spans="1:3" x14ac:dyDescent="0.35">
      <c r="A7" s="8" t="s">
        <v>82</v>
      </c>
      <c r="B7" s="10">
        <f>'5-Year Pro-Forma'!B30</f>
        <v>-349813.12799999997</v>
      </c>
      <c r="C7" s="7" t="s">
        <v>83</v>
      </c>
    </row>
    <row r="8" spans="1:3" x14ac:dyDescent="0.35">
      <c r="A8" s="6" t="s">
        <v>84</v>
      </c>
      <c r="B8" s="9">
        <f>'5-Year Pro-Forma'!C30</f>
        <v>107435.04380000001</v>
      </c>
      <c r="C8" s="7" t="s">
        <v>83</v>
      </c>
    </row>
    <row r="9" spans="1:3" x14ac:dyDescent="0.35">
      <c r="A9" s="8" t="s">
        <v>85</v>
      </c>
      <c r="B9" s="10">
        <f>'5-Year Pro-Forma'!D30</f>
        <v>109739.63689999995</v>
      </c>
      <c r="C9" s="7" t="s">
        <v>83</v>
      </c>
    </row>
    <row r="10" spans="1:3" x14ac:dyDescent="0.35">
      <c r="A10" s="6" t="s">
        <v>86</v>
      </c>
      <c r="B10" s="9">
        <f>'5-Year Pro-Forma'!E30</f>
        <v>112100.65130000006</v>
      </c>
      <c r="C10" s="7" t="s">
        <v>83</v>
      </c>
    </row>
    <row r="11" spans="1:3" x14ac:dyDescent="0.35">
      <c r="A11" s="8" t="s">
        <v>87</v>
      </c>
      <c r="B11" s="10">
        <f>'5-Year Pro-Forma'!F30</f>
        <v>114522.4271</v>
      </c>
      <c r="C11" s="7" t="s">
        <v>83</v>
      </c>
    </row>
    <row r="12" spans="1:3" x14ac:dyDescent="0.35">
      <c r="A12" s="4" t="s">
        <v>88</v>
      </c>
      <c r="B12" s="4"/>
      <c r="C12" s="4"/>
    </row>
    <row r="13" spans="1:3" x14ac:dyDescent="0.35">
      <c r="A13" s="24" t="s">
        <v>89</v>
      </c>
      <c r="B13" s="25">
        <f>NPV(Assumptions!B23,B7:B11)+B5</f>
        <v>-454097.95855225984</v>
      </c>
      <c r="C13" s="26" t="s">
        <v>90</v>
      </c>
    </row>
    <row r="14" spans="1:3" x14ac:dyDescent="0.35">
      <c r="A14" s="27" t="s">
        <v>91</v>
      </c>
      <c r="B14" s="28">
        <f>IFERROR(IRR(CHOOSE({1,2,3,4,5,6},B5,B7,B8,B9,B10,B11),0.1),"Check")</f>
        <v>-0.17047456761504676</v>
      </c>
      <c r="C14" s="26" t="s">
        <v>92</v>
      </c>
    </row>
    <row r="15" spans="1:3" x14ac:dyDescent="0.35">
      <c r="A15" s="24" t="s">
        <v>93</v>
      </c>
      <c r="B15" s="29">
        <f>B5/AVERAGE(B7:B11)</f>
        <v>-24.206085328774552</v>
      </c>
      <c r="C15" s="26" t="s">
        <v>94</v>
      </c>
    </row>
    <row r="16" spans="1:3" x14ac:dyDescent="0.35">
      <c r="A16" s="27" t="s">
        <v>95</v>
      </c>
      <c r="B16" s="28">
        <f>SUM(B7:B11)/B5</f>
        <v>-0.20655962879120893</v>
      </c>
      <c r="C16" s="26" t="s">
        <v>96</v>
      </c>
    </row>
  </sheetData>
  <mergeCells count="3">
    <mergeCell ref="A1:C1"/>
    <mergeCell ref="A4:C4"/>
    <mergeCell ref="A12:C12"/>
  </mergeCells>
  <printOptions horizontalCentered="1"/>
  <pageMargins left="0.5" right="0.5" top="0.5" bottom="0.5" header="0.511811023622047" footer="0.511811023622047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8"/>
  <sheetViews>
    <sheetView showGridLines="0" zoomScaleNormal="100" workbookViewId="0">
      <selection sqref="A1:XFD1048576"/>
    </sheetView>
  </sheetViews>
  <sheetFormatPr defaultColWidth="8.6328125" defaultRowHeight="14.5" x14ac:dyDescent="0.35"/>
  <cols>
    <col min="1" max="1" width="25.1796875" bestFit="1" customWidth="1"/>
    <col min="2" max="2" width="11.453125" bestFit="1" customWidth="1"/>
    <col min="3" max="3" width="7.54296875" bestFit="1" customWidth="1"/>
    <col min="4" max="4" width="6.90625" bestFit="1" customWidth="1"/>
    <col min="5" max="5" width="30" bestFit="1" customWidth="1"/>
  </cols>
  <sheetData>
    <row r="1" spans="1:5" x14ac:dyDescent="0.35">
      <c r="A1" s="1" t="s">
        <v>97</v>
      </c>
      <c r="B1" s="1"/>
      <c r="C1" s="1"/>
      <c r="D1" s="1"/>
      <c r="E1" s="1"/>
    </row>
    <row r="2" spans="1:5" x14ac:dyDescent="0.35">
      <c r="A2" s="2" t="s">
        <v>98</v>
      </c>
      <c r="B2" s="2"/>
      <c r="C2" s="2"/>
      <c r="D2" s="2"/>
      <c r="E2" s="2"/>
    </row>
    <row r="4" spans="1:5" x14ac:dyDescent="0.35">
      <c r="A4" s="5" t="s">
        <v>99</v>
      </c>
      <c r="B4" s="5" t="s">
        <v>100</v>
      </c>
      <c r="C4" s="5" t="s">
        <v>101</v>
      </c>
      <c r="D4" s="5" t="s">
        <v>102</v>
      </c>
      <c r="E4" s="5" t="s">
        <v>103</v>
      </c>
    </row>
    <row r="5" spans="1:5" x14ac:dyDescent="0.35">
      <c r="A5" s="4" t="s">
        <v>104</v>
      </c>
      <c r="B5" s="4"/>
      <c r="C5" s="4"/>
      <c r="D5" s="4"/>
      <c r="E5" s="4"/>
    </row>
    <row r="6" spans="1:5" x14ac:dyDescent="0.35">
      <c r="A6" s="6" t="s">
        <v>105</v>
      </c>
      <c r="B6" s="30" t="s">
        <v>106</v>
      </c>
      <c r="C6" s="31" t="s">
        <v>107</v>
      </c>
      <c r="D6" s="32" t="s">
        <v>108</v>
      </c>
      <c r="E6" s="7" t="s">
        <v>109</v>
      </c>
    </row>
    <row r="7" spans="1:5" x14ac:dyDescent="0.35">
      <c r="A7" s="8" t="s">
        <v>110</v>
      </c>
      <c r="B7" s="30" t="s">
        <v>111</v>
      </c>
      <c r="C7" s="31" t="s">
        <v>112</v>
      </c>
      <c r="D7" s="32" t="s">
        <v>113</v>
      </c>
      <c r="E7" s="7" t="s">
        <v>114</v>
      </c>
    </row>
    <row r="8" spans="1:5" x14ac:dyDescent="0.35">
      <c r="A8" s="6" t="s">
        <v>12</v>
      </c>
      <c r="B8" s="30" t="s">
        <v>115</v>
      </c>
      <c r="C8" s="31" t="s">
        <v>116</v>
      </c>
      <c r="D8" s="32" t="s">
        <v>117</v>
      </c>
      <c r="E8" s="7" t="s">
        <v>118</v>
      </c>
    </row>
    <row r="9" spans="1:5" x14ac:dyDescent="0.35">
      <c r="A9" s="8" t="s">
        <v>119</v>
      </c>
      <c r="B9" s="30" t="s">
        <v>120</v>
      </c>
      <c r="C9" s="31" t="s">
        <v>121</v>
      </c>
      <c r="D9" s="32" t="s">
        <v>122</v>
      </c>
      <c r="E9" s="7" t="s">
        <v>123</v>
      </c>
    </row>
    <row r="10" spans="1:5" x14ac:dyDescent="0.35">
      <c r="A10" s="6" t="s">
        <v>124</v>
      </c>
      <c r="B10" s="30" t="s">
        <v>125</v>
      </c>
      <c r="C10" s="31" t="s">
        <v>126</v>
      </c>
      <c r="D10" s="32" t="s">
        <v>127</v>
      </c>
      <c r="E10" s="7" t="s">
        <v>128</v>
      </c>
    </row>
    <row r="11" spans="1:5" x14ac:dyDescent="0.35">
      <c r="A11" s="33"/>
      <c r="B11" s="33"/>
      <c r="C11" s="33"/>
      <c r="D11" s="33"/>
      <c r="E11" s="33"/>
    </row>
    <row r="12" spans="1:5" x14ac:dyDescent="0.35">
      <c r="A12" s="4" t="s">
        <v>129</v>
      </c>
      <c r="B12" s="4"/>
      <c r="C12" s="4"/>
      <c r="D12" s="4"/>
      <c r="E12" s="4"/>
    </row>
    <row r="13" spans="1:5" x14ac:dyDescent="0.35">
      <c r="A13" s="8" t="s">
        <v>130</v>
      </c>
      <c r="B13" s="30" t="s">
        <v>131</v>
      </c>
      <c r="C13" s="31" t="s">
        <v>132</v>
      </c>
      <c r="D13" s="32" t="s">
        <v>133</v>
      </c>
      <c r="E13" s="7" t="s">
        <v>134</v>
      </c>
    </row>
    <row r="14" spans="1:5" x14ac:dyDescent="0.35">
      <c r="A14" s="6" t="s">
        <v>135</v>
      </c>
      <c r="B14" s="30" t="s">
        <v>136</v>
      </c>
      <c r="C14" s="31" t="s">
        <v>137</v>
      </c>
      <c r="D14" s="32" t="s">
        <v>138</v>
      </c>
      <c r="E14" s="7" t="s">
        <v>139</v>
      </c>
    </row>
    <row r="15" spans="1:5" x14ac:dyDescent="0.35">
      <c r="A15" s="8" t="s">
        <v>140</v>
      </c>
      <c r="B15" s="30" t="s">
        <v>141</v>
      </c>
      <c r="C15" s="31" t="s">
        <v>137</v>
      </c>
      <c r="D15" s="32" t="s">
        <v>142</v>
      </c>
      <c r="E15" s="7" t="s">
        <v>143</v>
      </c>
    </row>
    <row r="16" spans="1:5" x14ac:dyDescent="0.35">
      <c r="A16" s="6" t="s">
        <v>144</v>
      </c>
      <c r="B16" s="30" t="s">
        <v>145</v>
      </c>
      <c r="C16" s="31" t="s">
        <v>146</v>
      </c>
      <c r="D16" s="32" t="s">
        <v>147</v>
      </c>
      <c r="E16" s="7" t="s">
        <v>148</v>
      </c>
    </row>
    <row r="17" spans="1:5" x14ac:dyDescent="0.35">
      <c r="A17" s="8" t="s">
        <v>93</v>
      </c>
      <c r="B17" s="30" t="s">
        <v>149</v>
      </c>
      <c r="C17" s="31" t="s">
        <v>150</v>
      </c>
      <c r="D17" s="32" t="s">
        <v>151</v>
      </c>
      <c r="E17" s="7"/>
    </row>
    <row r="18" spans="1:5" x14ac:dyDescent="0.35">
      <c r="A18" s="6" t="s">
        <v>152</v>
      </c>
      <c r="B18" s="30" t="s">
        <v>153</v>
      </c>
      <c r="C18" s="31" t="s">
        <v>154</v>
      </c>
      <c r="D18" s="32" t="s">
        <v>154</v>
      </c>
      <c r="E18" s="7" t="s">
        <v>155</v>
      </c>
    </row>
  </sheetData>
  <mergeCells count="4">
    <mergeCell ref="A1:E1"/>
    <mergeCell ref="A2:E2"/>
    <mergeCell ref="A5:E5"/>
    <mergeCell ref="A12:E12"/>
  </mergeCells>
  <printOptions horizontalCentered="1"/>
  <pageMargins left="0.5" right="0.5" top="0.5" bottom="0.5" header="0.511811023622047" footer="0.511811023622047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22"/>
  <sheetViews>
    <sheetView showGridLines="0" tabSelected="1" topLeftCell="A3" zoomScale="52" zoomScaleNormal="100" workbookViewId="0">
      <selection activeCell="A12" sqref="A12"/>
    </sheetView>
  </sheetViews>
  <sheetFormatPr defaultColWidth="8.6328125" defaultRowHeight="19.5" x14ac:dyDescent="0.35"/>
  <cols>
    <col min="1" max="1" width="167.08984375" style="35" customWidth="1"/>
    <col min="2" max="16384" width="8.6328125" style="35"/>
  </cols>
  <sheetData>
    <row r="1" spans="1:1" x14ac:dyDescent="0.35">
      <c r="A1" s="34" t="s">
        <v>156</v>
      </c>
    </row>
    <row r="2" spans="1:1" x14ac:dyDescent="0.35">
      <c r="A2" s="36" t="s">
        <v>157</v>
      </c>
    </row>
    <row r="3" spans="1:1" ht="78" x14ac:dyDescent="0.35">
      <c r="A3" s="37" t="s">
        <v>158</v>
      </c>
    </row>
    <row r="4" spans="1:1" x14ac:dyDescent="0.35">
      <c r="A4" s="38"/>
    </row>
    <row r="5" spans="1:1" x14ac:dyDescent="0.35">
      <c r="A5" s="36" t="s">
        <v>159</v>
      </c>
    </row>
    <row r="6" spans="1:1" ht="58.5" x14ac:dyDescent="0.35">
      <c r="A6" s="37" t="s">
        <v>172</v>
      </c>
    </row>
    <row r="7" spans="1:1" x14ac:dyDescent="0.35">
      <c r="A7" s="38"/>
    </row>
    <row r="8" spans="1:1" x14ac:dyDescent="0.35">
      <c r="A8" s="36" t="s">
        <v>160</v>
      </c>
    </row>
    <row r="9" spans="1:1" x14ac:dyDescent="0.35">
      <c r="A9" s="38" t="s">
        <v>161</v>
      </c>
    </row>
    <row r="10" spans="1:1" x14ac:dyDescent="0.35">
      <c r="A10" s="38" t="s">
        <v>162</v>
      </c>
    </row>
    <row r="11" spans="1:1" x14ac:dyDescent="0.35">
      <c r="A11" s="38" t="s">
        <v>163</v>
      </c>
    </row>
    <row r="12" spans="1:1" x14ac:dyDescent="0.35">
      <c r="A12" s="38" t="s">
        <v>164</v>
      </c>
    </row>
    <row r="13" spans="1:1" x14ac:dyDescent="0.35">
      <c r="A13" s="38"/>
    </row>
    <row r="14" spans="1:1" x14ac:dyDescent="0.35">
      <c r="A14" s="36" t="s">
        <v>165</v>
      </c>
    </row>
    <row r="15" spans="1:1" x14ac:dyDescent="0.35">
      <c r="A15" s="39" t="s">
        <v>166</v>
      </c>
    </row>
    <row r="16" spans="1:1" x14ac:dyDescent="0.35">
      <c r="A16" s="39" t="s">
        <v>167</v>
      </c>
    </row>
    <row r="17" spans="1:1" x14ac:dyDescent="0.35">
      <c r="A17" s="39" t="s">
        <v>168</v>
      </c>
    </row>
    <row r="18" spans="1:1" x14ac:dyDescent="0.35">
      <c r="A18" s="38"/>
    </row>
    <row r="19" spans="1:1" x14ac:dyDescent="0.35">
      <c r="A19" s="36" t="s">
        <v>169</v>
      </c>
    </row>
    <row r="20" spans="1:1" ht="58.5" x14ac:dyDescent="0.35">
      <c r="A20" s="40" t="s">
        <v>170</v>
      </c>
    </row>
    <row r="21" spans="1:1" x14ac:dyDescent="0.35">
      <c r="A21" s="38"/>
    </row>
    <row r="22" spans="1:1" x14ac:dyDescent="0.35">
      <c r="A22" s="41" t="s">
        <v>171</v>
      </c>
    </row>
  </sheetData>
  <printOptions horizontalCentered="1"/>
  <pageMargins left="0.5" right="0.5" top="0.5" bottom="0.5" header="0.511811023622047" footer="0.511811023622047"/>
  <pageSetup scale="5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5-Year Pro-Forma</vt:lpstr>
      <vt:lpstr>NPV-IRR-Payback</vt:lpstr>
      <vt:lpstr>Scenario Analysis</vt:lpstr>
      <vt:lpstr>Project 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Anagha Athreyas</cp:lastModifiedBy>
  <cp:revision>0</cp:revision>
  <cp:lastPrinted>2026-06-11T19:41:21Z</cp:lastPrinted>
  <dcterms:created xsi:type="dcterms:W3CDTF">2026-06-11T19:32:03Z</dcterms:created>
  <dcterms:modified xsi:type="dcterms:W3CDTF">2026-06-11T19:41:38Z</dcterms:modified>
  <dc:language>en-US</dc:language>
</cp:coreProperties>
</file>