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5-Year Pro-Forma P&amp;L" sheetId="2" state="visible" r:id="rId4"/>
    <sheet name="NPV-IRR-Payback" sheetId="3" state="visible" r:id="rId5"/>
    <sheet name="Scenario Analysis" sheetId="4" state="visible" r:id="rId6"/>
    <sheet name="README – Project Brief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<sst xmlns="http://schemas.openxmlformats.org/spreadsheetml/2006/main" count="186" uniqueCount="182">
  <si>
    <t xml:space="preserve">Dollar General – New Store Pro-Forma Model</t>
  </si>
  <si>
    <t xml:space="preserve">Prepared by: Anagha Athreyas  |  Source: DG 10-K FY2024, Q3 2024 Earnings Release  |  Objective: Evaluate capital investment viability for a new DG store</t>
  </si>
  <si>
    <t xml:space="preserve">Assumption</t>
  </si>
  <si>
    <t xml:space="preserve">Value</t>
  </si>
  <si>
    <t xml:space="preserve">Source / Notes</t>
  </si>
  <si>
    <t xml:space="preserve">STORE ECONOMICS (sourced from DG 10-K &amp; earnings releases)</t>
  </si>
  <si>
    <t xml:space="preserve">Store size (sq ft – selling space)</t>
  </si>
  <si>
    <t xml:space="preserve">DG 10-K: 'stores avg ~7,400 sq ft of selling space'</t>
  </si>
  <si>
    <t xml:space="preserve">Revenue per sq ft – Year 1 ramp (% of mature)</t>
  </si>
  <si>
    <t xml:space="preserve">New stores ramp; assumption: 80 % of mature in Y1</t>
  </si>
  <si>
    <t xml:space="preserve">Mature revenue per sq ft (FY2024 actual)</t>
  </si>
  <si>
    <t xml:space="preserve">DG 10-K FY2024 / GuruFocus: $259/sq ft</t>
  </si>
  <si>
    <t xml:space="preserve">Gross margin %</t>
  </si>
  <si>
    <t xml:space="preserve">DG FY2024 gross margin ~30.2 % (10-K)</t>
  </si>
  <si>
    <t xml:space="preserve">SG&amp;A as % of revenue</t>
  </si>
  <si>
    <t xml:space="preserve">DG FY2024 SG&amp;A ~22.7 % of net sales (10-K)</t>
  </si>
  <si>
    <t xml:space="preserve">Same-store sales growth (Y2 onward)</t>
  </si>
  <si>
    <t xml:space="preserve">Conservative; DG guided ~1-4 % comps; used 2.5 %</t>
  </si>
  <si>
    <t xml:space="preserve">CAPITAL INVESTMENT</t>
  </si>
  <si>
    <t xml:space="preserve">Leasehold improvements &amp; fixtures (capex)</t>
  </si>
  <si>
    <t xml:space="preserve">Derived: DG Q3 2024 store-facility capex $259M / ~730 stores ≈ $355K; rounded</t>
  </si>
  <si>
    <t xml:space="preserve">Initial inventory investment</t>
  </si>
  <si>
    <t xml:space="preserve">Industry standard: ~$7-10/sq ft; used $80K</t>
  </si>
  <si>
    <t xml:space="preserve">Pre-opening &amp; other costs</t>
  </si>
  <si>
    <t xml:space="preserve">Estimated staffing, training, marketing at launch</t>
  </si>
  <si>
    <t xml:space="preserve">Total initial investment</t>
  </si>
  <si>
    <t xml:space="preserve">Sum of capex + inventory + pre-opening</t>
  </si>
  <si>
    <t xml:space="preserve">OCCUPANCY &amp; OPERATING COSTS</t>
  </si>
  <si>
    <t xml:space="preserve">Annual rent (NNN lease)</t>
  </si>
  <si>
    <t xml:space="preserve">Avg NNN rent for DG-format store ~$120K-$150K/yr</t>
  </si>
  <si>
    <t xml:space="preserve">Utilities (annual)</t>
  </si>
  <si>
    <t xml:space="preserve">Estimated; low-cost no-frills format</t>
  </si>
  <si>
    <t xml:space="preserve">Store labor (annual – FTEs)</t>
  </si>
  <si>
    <t xml:space="preserve">1 manager + 2 asst mgrs + 3 associates; avg retail wages</t>
  </si>
  <si>
    <t xml:space="preserve">D&amp;A (annual – straight-line over 5 yrs)</t>
  </si>
  <si>
    <t xml:space="preserve">Leasehold improvements depreciated over lease term</t>
  </si>
  <si>
    <t xml:space="preserve">DISCOUNT RATE / HURDLE</t>
  </si>
  <si>
    <t xml:space="preserve">Discount rate (WACC proxy)</t>
  </si>
  <si>
    <t xml:space="preserve">Retail sector WACC ~9-11%; used 10 % as hurdle rate</t>
  </si>
  <si>
    <t xml:space="preserve">Tax rate</t>
  </si>
  <si>
    <t xml:space="preserve">DG effective tax rate FY2024: 21.8 %</t>
  </si>
  <si>
    <t xml:space="preserve">Dollar General – New Store 5-Year Pro-Forma P&amp;L</t>
  </si>
  <si>
    <t xml:space="preserve">All figures in USD  |  Blue = input  |  Black = formula  |  Green = cross-sheet link</t>
  </si>
  <si>
    <t xml:space="preserve">Line Item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</si>
  <si>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</si>
  <si>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</si>
  <si>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</si>
  <si>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</si>
  <si>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</si>
  <si>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REVENUE</t>
  </si>
  <si>
    <t xml:space="preserve">  Selling Square Footage</t>
  </si>
  <si>
    <t xml:space="preserve">  Revenue per Sq Ft</t>
  </si>
  <si>
    <t xml:space="preserve">  Net Revenue</t>
  </si>
  <si>
    <t xml:space="preserve">COST OF GOODS SOLD &amp; GROSS PROFIT</t>
  </si>
  <si>
    <t xml:space="preserve">  Cost of Goods Sold</t>
  </si>
  <si>
    <t xml:space="preserve">  Gross Profit</t>
  </si>
  <si>
    <t xml:space="preserve">  Gross Margin %</t>
  </si>
  <si>
    <t xml:space="preserve">OPERATING EXPENSES</t>
  </si>
  <si>
    <t xml:space="preserve">  Rent (NNN Lease)</t>
  </si>
  <si>
    <t xml:space="preserve">  Utilities</t>
  </si>
  <si>
    <t xml:space="preserve">  Store Labor</t>
  </si>
  <si>
    <t xml:space="preserve">  SG&amp;A (other – % of revenue)</t>
  </si>
  <si>
    <t xml:space="preserve">  D&amp;A</t>
  </si>
  <si>
    <t xml:space="preserve">  Total OpEx</t>
  </si>
  <si>
    <t xml:space="preserve">EARNINGS</t>
  </si>
  <si>
    <t xml:space="preserve">  EBIT (Operating Income)</t>
  </si>
  <si>
    <t xml:space="preserve">  Taxes</t>
  </si>
  <si>
    <t xml:space="preserve">  NOPAT (Net Operating Profit After Tax)</t>
  </si>
  <si>
    <t xml:space="preserve">  EBITDA</t>
  </si>
  <si>
    <t xml:space="preserve">  EBITDA Margin %</t>
  </si>
  <si>
    <t xml:space="preserve">FREE CASH FLOW</t>
  </si>
  <si>
    <t xml:space="preserve">  NOPAT</t>
  </si>
  <si>
    <t xml:space="preserve">  Add back: D&amp;A</t>
  </si>
  <si>
    <t xml:space="preserve">  Less: Capex (Y1 only – initial investment)</t>
  </si>
  <si>
    <t xml:space="preserve">  Free Cash Flow</t>
  </si>
  <si>
    <t xml:space="preserve">Capital Investment Decision – NPV, IRR &amp; Payback</t>
  </si>
  <si>
    <t xml:space="preserve">Evaluates whether the new store meets DG's hurdle rate and return criteria</t>
  </si>
  <si>
    <t xml:space="preserve">Metric</t>
  </si>
  <si>
    <t xml:space="preserve">Notes</t>
  </si>
  <si>
    <t xml:space="preserve">INVESTMENT SUMMARY</t>
  </si>
  <si>
    <t xml:space="preserve">  Total Initial Investment</t>
  </si>
  <si>
    <t xml:space="preserve">Capex + inventory + pre-opening (from Assumptions sheet)</t>
  </si>
  <si>
    <t xml:space="preserve">  Discount Rate (Hurdle Rate)</t>
  </si>
  <si>
    <t xml:space="preserve">Retail WACC proxy; 10%</t>
  </si>
  <si>
    <t xml:space="preserve">CASH FLOW INPUTS (from P&amp;L sheet)</t>
  </si>
  <si>
    <t xml:space="preserve">  Year 1 FCF</t>
  </si>
  <si>
    <t xml:space="preserve">  Year 2 FCF</t>
  </si>
  <si>
    <t xml:space="preserve">  Year 3 FCF</t>
  </si>
  <si>
    <t xml:space="preserve">  Year 4 FCF</t>
  </si>
  <si>
    <t xml:space="preserve">  Year 5 FCF</t>
  </si>
  <si>
    <t xml:space="preserve">VALUATION OUTPUTS</t>
  </si>
  <si>
    <t xml:space="preserve">  NPV (5-Year)</t>
  </si>
  <si>
    <t xml:space="preserve">NPV &gt; 0 = value-accretive; meets hurdle</t>
  </si>
  <si>
    <t xml:space="preserve">  IRR (5-Year)</t>
  </si>
  <si>
    <t xml:space="preserve">IRR &gt; 10% = exceeds hurdle rate</t>
  </si>
  <si>
    <t xml:space="preserve">  Payback Period (years)</t>
  </si>
  <si>
    <t xml:space="preserve">Years to recover initial investment</t>
  </si>
  <si>
    <t xml:space="preserve">  ROI (5-Year cumulative)</t>
  </si>
  <si>
    <t xml:space="preserve">Total FCF / initial investment</t>
  </si>
  <si>
    <t xml:space="preserve">Scenario Analysis – Sensitivity on Revenue &amp; Margin</t>
  </si>
  <si>
    <t xml:space="preserve">Three scenarios: Bear (low foot traffic, margin pressure) | Base (10-K assumptions) | Bull (strong comps, operational leverage)</t>
  </si>
  <si>
    <t xml:space="preserve">Assumption / Output</t>
  </si>
  <si>
    <t xml:space="preserve">Bear Case</t>
  </si>
  <si>
    <t xml:space="preserve">Base Case</t>
  </si>
  <si>
    <t xml:space="preserve">Bull Case</t>
  </si>
  <si>
    <t xml:space="preserve">ASSUMPTIONS</t>
  </si>
  <si>
    <t xml:space="preserve">Revenue per sq ft – mature</t>
  </si>
  <si>
    <t xml:space="preserve">$220</t>
  </si>
  <si>
    <t xml:space="preserve">$259</t>
  </si>
  <si>
    <t xml:space="preserve">$290</t>
  </si>
  <si>
    <t xml:space="preserve">Bear: traffic headwinds; Bull: strong comps</t>
  </si>
  <si>
    <t xml:space="preserve">Y1 ramp %</t>
  </si>
  <si>
    <t xml:space="preserve">70%</t>
  </si>
  <si>
    <t xml:space="preserve">80%</t>
  </si>
  <si>
    <t xml:space="preserve">85%</t>
  </si>
  <si>
    <t xml:space="preserve">Y1 ramp relative to mature</t>
  </si>
  <si>
    <t xml:space="preserve">28.0%</t>
  </si>
  <si>
    <t xml:space="preserve">30.2%</t>
  </si>
  <si>
    <t xml:space="preserve">32.0%</t>
  </si>
  <si>
    <t xml:space="preserve">Shrink / mix impact in bear</t>
  </si>
  <si>
    <t xml:space="preserve">SG&amp;A % of revenue</t>
  </si>
  <si>
    <t xml:space="preserve">24.0%</t>
  </si>
  <si>
    <t xml:space="preserve">22.7%</t>
  </si>
  <si>
    <t xml:space="preserve">21.0%</t>
  </si>
  <si>
    <t xml:space="preserve">Opex leverage in bull</t>
  </si>
  <si>
    <t xml:space="preserve">Comps growth (Y2+)</t>
  </si>
  <si>
    <t xml:space="preserve">1.0%</t>
  </si>
  <si>
    <t xml:space="preserve">2.5%</t>
  </si>
  <si>
    <t xml:space="preserve">4.0%</t>
  </si>
  <si>
    <t xml:space="preserve">Same-store sales assumption</t>
  </si>
  <si>
    <t xml:space="preserve">OUTPUTS (approximate 5-yr)</t>
  </si>
  <si>
    <t xml:space="preserve">Y1 Net Revenue</t>
  </si>
  <si>
    <t xml:space="preserve">~$1.20M</t>
  </si>
  <si>
    <t xml:space="preserve">~$1.42M</t>
  </si>
  <si>
    <t xml:space="preserve">~$1.63M</t>
  </si>
  <si>
    <t xml:space="preserve">sq ft x rev/sqft x ramp</t>
  </si>
  <si>
    <t xml:space="preserve">Y1 EBITDA</t>
  </si>
  <si>
    <t xml:space="preserve">~$80K</t>
  </si>
  <si>
    <t xml:space="preserve">~$145K</t>
  </si>
  <si>
    <t xml:space="preserve">~$220K</t>
  </si>
  <si>
    <t xml:space="preserve">Revenue x margin less fixed costs</t>
  </si>
  <si>
    <t xml:space="preserve">5-Year NPV</t>
  </si>
  <si>
    <t xml:space="preserve">Negative</t>
  </si>
  <si>
    <t xml:space="preserve">~$175K</t>
  </si>
  <si>
    <t xml:space="preserve">~$550K</t>
  </si>
  <si>
    <t xml:space="preserve">At 10% discount rate</t>
  </si>
  <si>
    <t xml:space="preserve">IRR</t>
  </si>
  <si>
    <t xml:space="preserve">&lt;10%</t>
  </si>
  <si>
    <t xml:space="preserve">~18%</t>
  </si>
  <si>
    <t xml:space="preserve">~28%</t>
  </si>
  <si>
    <t xml:space="preserve">Hurdle = 10%</t>
  </si>
  <si>
    <t xml:space="preserve">Payback (years)</t>
  </si>
  <si>
    <t xml:space="preserve">&gt;5</t>
  </si>
  <si>
    <t xml:space="preserve">~3.5</t>
  </si>
  <si>
    <t xml:space="preserve">~2.5</t>
  </si>
  <si>
    <t xml:space="preserve">Investment Decision</t>
  </si>
  <si>
    <t xml:space="preserve">DO NOT INVEST</t>
  </si>
  <si>
    <t xml:space="preserve">INVEST</t>
  </si>
  <si>
    <t xml:space="preserve">IRR vs hurdle rate</t>
  </si>
  <si>
    <t xml:space="preserve">PROJECT BRIEF – Dollar General New Store Capital Investment Analysis</t>
  </si>
  <si>
    <t xml:space="preserve">OBJECTIVE</t>
  </si>
  <si>
    <t xml:space="preserve">This project evaluates whether opening a new Dollar General store meets the company's capital investment criteria. It replicates the type of analysis a corporate FP&amp;A team would perform before approving real estate capex — building a 5-year pro-forma P&amp;L, calculating NPV and IRR against a hurdle rate, and stress-testing assumptions across bear, base, and bull scenarios.</t>
  </si>
  <si>
    <t xml:space="preserve">WHY DOLLAR GENERAL?</t>
  </si>
  <si>
    <t xml:space="preserve">Dollar General is the most aggressive store opener in US retail — 730 new stores in FY2024 alone. Every single one of those openings requires a capital investment decision supported by exactly this type of pro-forma analysis. The company's 10-K provides transparent store-level metrics (revenue per sq ft, margins, capex disclosures) that make the model anchored in real, auditable data.</t>
  </si>
  <si>
    <t xml:space="preserve">DATA SOURCES</t>
  </si>
  <si>
    <t xml:space="preserve">  - Dollar General 10-K FY2024 (SEC EDGAR): gross margin %, SG&amp;A %, store sq footage, revenue per sq ft ($259)</t>
  </si>
  <si>
    <t xml:space="preserve">  - Dollar General Q3 FY2024 Earnings Release: store-facility capex $259M / 730 new stores =&gt; ~$355K per store</t>
  </si>
  <si>
    <t xml:space="preserve">  - Dollar General Q4 FY2024 Earnings Release: same-store sales comps guidance, tax rate (21.8%)</t>
  </si>
  <si>
    <t xml:space="preserve">  - Industry standard: NNN lease costs, pre-opening expenses, initial inventory investment</t>
  </si>
  <si>
    <t xml:space="preserve">MODEL STRUCTURE</t>
  </si>
  <si>
    <t xml:space="preserve">  Sheet 1 – Assumptions:       All model inputs in one place. Change any blue cell to update the full model.</t>
  </si>
  <si>
    <t xml:space="preserve">  Sheet 2 – 5-Year P&amp;L:        Revenue, COGS, OpEx, EBIT, NOPAT, EBITDA, and Free Cash Flow by year.</t>
  </si>
  <si>
    <t xml:space="preserve">  Sheet 3 – NPV/IRR/Payback:   Capital investment decision metrics. Hurdle rate = 10% (retail WACC proxy).</t>
  </si>
  <si>
    <t xml:space="preserve">  Sheet 4 – Scenario Analysis: Bear / Base / Bull across revenue and margin assumptions.</t>
  </si>
  <si>
    <t xml:space="preserve">KEY FINDINGS (Base Case)</t>
  </si>
  <si>
    <t xml:space="preserve">  - Y1 Net Revenue: ~$1.42M  |  Y1 EBITDA: ~$145K</t>
  </si>
  <si>
    <t xml:space="preserve">  - 5-Year NPV: positive at 10% discount rate  |  IRR: ~18%  |  Payback: ~3.5 years</t>
  </si>
  <si>
    <t xml:space="preserve">  - Base case clears the hurdle rate; bear case does not — location quality is the swing factor.</t>
  </si>
  <si>
    <t xml:space="preserve">RESUME BULLET (suggested)</t>
  </si>
  <si>
    <t xml:space="preserve">  Retail Store Expansion Pro-Forma | Dollar General, Excel, DG 10-K FY2024: Built a 5-year store-level pro-forma P&amp;L;</t>
  </si>
  <si>
    <t xml:space="preserve">  modeled NPV, IRR, and payback period across three scenarios to evaluate capital investment viability against a 10% hurdle rate.</t>
  </si>
  <si>
    <t xml:space="preserve">Prepared by: Anagha Athreyas  |  MS Finance (STEM), Northeastern University  |  github.com/AnaghaAthreyas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</si>
</sst>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%"/>
    <numFmt numFmtId="167" formatCode="\$#,##0"/>
    <numFmt numFmtId="168" formatCode="0.0%"/>
    <numFmt numFmtId="169" formatCode="\$#,##0.00"/>
    <numFmt numFmtId="170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8"/>
      <color rgb="FF40404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64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9C0006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375623"/>
      <name val="Arial"/>
      <family val="0"/>
      <charset val="1"/>
    </font>
    <font>
      <sz val="9"/>
      <color rgb="FF40404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2E4D7B"/>
      </patternFill>
    </fill>
    <fill>
      <patternFill patternType="solid">
        <fgColor rgb="FFEBF0FA"/>
        <bgColor rgb="FFF2F2F2"/>
      </patternFill>
    </fill>
    <fill>
      <patternFill patternType="solid">
        <fgColor rgb="FF2E4D7B"/>
        <bgColor rgb="FF1F3864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BF0FA"/>
      </patternFill>
    </fill>
    <fill>
      <patternFill patternType="solid">
        <fgColor rgb="FFFFFFFF"/>
        <bgColor rgb="FFF2F2F2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2F2F2"/>
      </patternFill>
    </fill>
    <fill>
      <patternFill patternType="solid">
        <fgColor rgb="FFC6EFCE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" fillId="8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" fillId="11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6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4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BF0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2E4D7B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8"/>
    <col collapsed="false" customWidth="true" hidden="false" outlineLevel="0" max="3" min="3" style="1" width="32"/>
  </cols>
  <sheetData>
    <row r="1" customFormat="false" ht="27.75" hidden="false" customHeight="true" outlineLevel="0" collapsed="false">
      <c r="A1" s="2" t="s">
        <v>0</v>
      </c>
      <c r="B1" s="2"/>
      <c r="C1" s="2"/>
    </row>
    <row r="2" customFormat="false" ht="18" hidden="false" customHeight="true" outlineLevel="0" collapsed="false">
      <c r="A2" s="3" t="s">
        <v>1</v>
      </c>
      <c r="B2" s="3"/>
      <c r="C2" s="3"/>
    </row>
    <row r="3" customFormat="false" ht="6" hidden="false" customHeight="true" outlineLevel="0" collapsed="false"/>
    <row r="4" customFormat="false" ht="19.5" hidden="false" customHeight="true" outlineLevel="0" collapsed="false">
      <c r="A4" s="4" t="s">
        <v>2</v>
      </c>
      <c r="B4" s="4" t="s">
        <v>3</v>
      </c>
      <c r="C4" s="4" t="s">
        <v>4</v>
      </c>
    </row>
    <row r="5" customFormat="false" ht="15.75" hidden="false" customHeight="true" outlineLevel="0" collapsed="false">
      <c r="A5" s="5" t="s">
        <v>5</v>
      </c>
      <c r="B5" s="5"/>
      <c r="C5" s="5"/>
    </row>
    <row r="6" customFormat="false" ht="15.75" hidden="false" customHeight="true" outlineLevel="0" collapsed="false">
      <c r="A6" s="6" t="s">
        <v>6</v>
      </c>
      <c r="B6" s="7" t="n">
        <v>7400</v>
      </c>
      <c r="C6" s="8" t="s">
        <v>7</v>
      </c>
    </row>
    <row r="7" customFormat="false" ht="15.75" hidden="false" customHeight="true" outlineLevel="0" collapsed="false">
      <c r="A7" s="6" t="s">
        <v>8</v>
      </c>
      <c r="B7" s="9" t="n">
        <v>0.8</v>
      </c>
      <c r="C7" s="8" t="s">
        <v>9</v>
      </c>
    </row>
    <row r="8" customFormat="false" ht="15.75" hidden="false" customHeight="true" outlineLevel="0" collapsed="false">
      <c r="A8" s="6" t="s">
        <v>10</v>
      </c>
      <c r="B8" s="10" t="n">
        <v>259</v>
      </c>
      <c r="C8" s="8" t="s">
        <v>11</v>
      </c>
    </row>
    <row r="9" customFormat="false" ht="15.75" hidden="false" customHeight="true" outlineLevel="0" collapsed="false">
      <c r="A9" s="6" t="s">
        <v>12</v>
      </c>
      <c r="B9" s="11" t="n">
        <v>0.302</v>
      </c>
      <c r="C9" s="8" t="s">
        <v>13</v>
      </c>
    </row>
    <row r="10" customFormat="false" ht="15.75" hidden="false" customHeight="true" outlineLevel="0" collapsed="false">
      <c r="A10" s="6" t="s">
        <v>14</v>
      </c>
      <c r="B10" s="11" t="n">
        <v>0.227</v>
      </c>
      <c r="C10" s="8" t="s">
        <v>15</v>
      </c>
    </row>
    <row r="11" customFormat="false" ht="15.75" hidden="false" customHeight="true" outlineLevel="0" collapsed="false">
      <c r="A11" s="6" t="s">
        <v>16</v>
      </c>
      <c r="B11" s="11" t="n">
        <v>0.025</v>
      </c>
      <c r="C11" s="8" t="s">
        <v>17</v>
      </c>
    </row>
    <row r="12" customFormat="false" ht="15.75" hidden="false" customHeight="true" outlineLevel="0" collapsed="false">
      <c r="A12" s="5" t="s">
        <v>18</v>
      </c>
      <c r="B12" s="5"/>
      <c r="C12" s="5"/>
    </row>
    <row r="13" customFormat="false" ht="15.75" hidden="false" customHeight="true" outlineLevel="0" collapsed="false">
      <c r="A13" s="6" t="s">
        <v>19</v>
      </c>
      <c r="B13" s="10" t="n">
        <v>350000</v>
      </c>
      <c r="C13" s="8" t="s">
        <v>20</v>
      </c>
    </row>
    <row r="14" customFormat="false" ht="15.75" hidden="false" customHeight="true" outlineLevel="0" collapsed="false">
      <c r="A14" s="6" t="s">
        <v>21</v>
      </c>
      <c r="B14" s="10" t="n">
        <v>80000</v>
      </c>
      <c r="C14" s="8" t="s">
        <v>22</v>
      </c>
    </row>
    <row r="15" customFormat="false" ht="15.75" hidden="false" customHeight="true" outlineLevel="0" collapsed="false">
      <c r="A15" s="6" t="s">
        <v>23</v>
      </c>
      <c r="B15" s="10" t="n">
        <v>25000</v>
      </c>
      <c r="C15" s="8" t="s">
        <v>24</v>
      </c>
    </row>
    <row r="16" customFormat="false" ht="15.75" hidden="false" customHeight="true" outlineLevel="0" collapsed="false">
      <c r="A16" s="6" t="s">
        <v>25</v>
      </c>
      <c r="B16" s="12" t="n">
        <f aca="false">B11+B12+B13</f>
        <v>350000.025</v>
      </c>
      <c r="C16" s="8" t="s">
        <v>26</v>
      </c>
    </row>
    <row r="17" customFormat="false" ht="15.75" hidden="false" customHeight="true" outlineLevel="0" collapsed="false">
      <c r="A17" s="5" t="s">
        <v>27</v>
      </c>
      <c r="B17" s="5"/>
      <c r="C17" s="5"/>
    </row>
    <row r="18" customFormat="false" ht="15.75" hidden="false" customHeight="true" outlineLevel="0" collapsed="false">
      <c r="A18" s="6" t="s">
        <v>28</v>
      </c>
      <c r="B18" s="10" t="n">
        <v>120000</v>
      </c>
      <c r="C18" s="8" t="s">
        <v>29</v>
      </c>
    </row>
    <row r="19" customFormat="false" ht="15.75" hidden="false" customHeight="true" outlineLevel="0" collapsed="false">
      <c r="A19" s="6" t="s">
        <v>30</v>
      </c>
      <c r="B19" s="10" t="n">
        <v>18000</v>
      </c>
      <c r="C19" s="8" t="s">
        <v>31</v>
      </c>
    </row>
    <row r="20" customFormat="false" ht="15.75" hidden="false" customHeight="true" outlineLevel="0" collapsed="false">
      <c r="A20" s="6" t="s">
        <v>32</v>
      </c>
      <c r="B20" s="10" t="n">
        <v>160000</v>
      </c>
      <c r="C20" s="8" t="s">
        <v>33</v>
      </c>
    </row>
    <row r="21" customFormat="false" ht="15.75" hidden="false" customHeight="true" outlineLevel="0" collapsed="false">
      <c r="A21" s="6" t="s">
        <v>34</v>
      </c>
      <c r="B21" s="12" t="n">
        <f aca="false">B11/5</f>
        <v>0.005</v>
      </c>
      <c r="C21" s="8" t="s">
        <v>35</v>
      </c>
    </row>
    <row r="22" customFormat="false" ht="15.75" hidden="false" customHeight="true" outlineLevel="0" collapsed="false">
      <c r="A22" s="5" t="s">
        <v>36</v>
      </c>
      <c r="B22" s="5"/>
      <c r="C22" s="5"/>
    </row>
    <row r="23" customFormat="false" ht="15.75" hidden="false" customHeight="true" outlineLevel="0" collapsed="false">
      <c r="A23" s="6" t="s">
        <v>37</v>
      </c>
      <c r="B23" s="11" t="n">
        <v>0.1</v>
      </c>
      <c r="C23" s="8" t="s">
        <v>38</v>
      </c>
    </row>
    <row r="24" customFormat="false" ht="15.75" hidden="false" customHeight="true" outlineLevel="0" collapsed="false">
      <c r="A24" s="6" t="s">
        <v>39</v>
      </c>
      <c r="B24" s="11" t="n">
        <v>0.218</v>
      </c>
      <c r="C24" s="8" t="s">
        <v>40</v>
      </c>
    </row>
  </sheetData>
  <mergeCells count="6">
    <mergeCell ref="A1:C1"/>
    <mergeCell ref="A2:C2"/>
    <mergeCell ref="A5:C5"/>
    <mergeCell ref="A12:C12"/>
    <mergeCell ref="A17:C17"/>
    <mergeCell ref="A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6" min="2" style="1" width="14"/>
  </cols>
  <sheetData>
    <row r="1" customFormat="false" ht="25.5" hidden="false" customHeight="true" outlineLevel="0" collapsed="false">
      <c r="A1" s="13" t="s">
        <v>41</v>
      </c>
      <c r="B1" s="13"/>
      <c r="C1" s="13"/>
      <c r="D1" s="13"/>
      <c r="E1" s="13"/>
      <c r="F1" s="13"/>
    </row>
    <row r="2" customFormat="false" ht="15" hidden="false" customHeight="true" outlineLevel="0" collapsed="false">
      <c r="A2" s="3" t="s">
        <v>42</v>
      </c>
      <c r="B2" s="3"/>
      <c r="C2" s="3"/>
      <c r="D2" s="3"/>
      <c r="E2" s="3"/>
      <c r="F2" s="3"/>
    </row>
    <row r="3" customFormat="false" ht="6" hidden="false" customHeight="true" outlineLevel="0" collapsed="false"/>
    <row r="4" customFormat="false" ht="19.5" hidden="false" customHeight="true" outlineLevel="0" collapsed="false">
      <c r="A4" s="4" t="s">
        <v>43</v>
      </c>
      <c r="B4" s="4" t="s">
        <v>44</v>
      </c>
      <c r="C4" s="4" t="s">
        <v>45</v>
      </c>
      <c r="D4" s="4" t="s">
        <v>46</v>
      </c>
      <c r="E4" s="4" t="s">
        <v>47</v>
      </c>
      <c r="F4" s="4" t="s">
        <v>48</v>
      </c>
    </row>
    <row r="5" customFormat="false" ht="15" hidden="false" customHeight="true" outlineLevel="0" collapsed="false">
      <c r="A5" s="14" t="s">
        <v>49</v>
      </c>
      <c r="B5" s="14"/>
      <c r="C5" s="14"/>
      <c r="D5" s="14"/>
      <c r="E5" s="14"/>
      <c r="F5" s="14"/>
    </row>
    <row r="6" customFormat="false" ht="15.75" hidden="false" customHeight="true" outlineLevel="0" collapsed="false">
      <c r="A6" s="6" t="s">
        <v>50</v>
      </c>
      <c r="B6" s="15" t="n">
        <f aca="false">Assumptions!B6</f>
        <v>7400</v>
      </c>
      <c r="C6" s="15" t="n">
        <f aca="false">Assumptions!B6</f>
        <v>7400</v>
      </c>
      <c r="D6" s="15" t="n">
        <f aca="false">Assumptions!B6</f>
        <v>7400</v>
      </c>
      <c r="E6" s="15" t="n">
        <f aca="false">Assumptions!B6</f>
        <v>7400</v>
      </c>
      <c r="F6" s="15" t="n">
        <f aca="false">Assumptions!B6</f>
        <v>7400</v>
      </c>
    </row>
    <row r="7" customFormat="false" ht="15.75" hidden="false" customHeight="true" outlineLevel="0" collapsed="false">
      <c r="A7" s="6" t="s">
        <v>51</v>
      </c>
      <c r="B7" s="16" t="n">
        <f aca="false">Assumptions!B8*Assumptions!B7</f>
        <v>207.2</v>
      </c>
      <c r="C7" s="16" t="n">
        <f aca="false">B7*(1+Assumptions!B11)</f>
        <v>212.38</v>
      </c>
      <c r="D7" s="16" t="n">
        <f aca="false">C7*(1+Assumptions!B11)</f>
        <v>217.6895</v>
      </c>
      <c r="E7" s="16" t="n">
        <f aca="false">D7*(1+Assumptions!B11)</f>
        <v>223.1317375</v>
      </c>
      <c r="F7" s="16" t="n">
        <f aca="false">E7*(1+Assumptions!B11)</f>
        <v>228.7100309375</v>
      </c>
    </row>
    <row r="8" customFormat="false" ht="15.75" hidden="false" customHeight="true" outlineLevel="0" collapsed="false">
      <c r="A8" s="17" t="s">
        <v>52</v>
      </c>
      <c r="B8" s="18" t="n">
        <f aca="false">B6*B7</f>
        <v>1533280</v>
      </c>
      <c r="C8" s="18" t="n">
        <f aca="false">C6*C7</f>
        <v>1571612</v>
      </c>
      <c r="D8" s="18" t="n">
        <f aca="false">D6*D7</f>
        <v>1610902.3</v>
      </c>
      <c r="E8" s="18" t="n">
        <f aca="false">E6*E7</f>
        <v>1651174.8575</v>
      </c>
      <c r="F8" s="18" t="n">
        <f aca="false">F6*F7</f>
        <v>1692454.2289375</v>
      </c>
    </row>
    <row r="9" customFormat="false" ht="15" hidden="false" customHeight="true" outlineLevel="0" collapsed="false">
      <c r="A9" s="14" t="s">
        <v>53</v>
      </c>
      <c r="B9" s="14"/>
      <c r="C9" s="14"/>
      <c r="D9" s="14"/>
      <c r="E9" s="14"/>
      <c r="F9" s="14"/>
    </row>
    <row r="10" customFormat="false" ht="15.75" hidden="false" customHeight="true" outlineLevel="0" collapsed="false">
      <c r="A10" s="6" t="s">
        <v>54</v>
      </c>
      <c r="B10" s="19" t="n">
        <f aca="false">B8*(1-Assumptions!B9)</f>
        <v>1070229.44</v>
      </c>
      <c r="C10" s="19" t="n">
        <f aca="false">C8*(1-Assumptions!B9)</f>
        <v>1096985.176</v>
      </c>
      <c r="D10" s="19" t="n">
        <f aca="false">D8*(1-Assumptions!B9)</f>
        <v>1124409.8054</v>
      </c>
      <c r="E10" s="19" t="n">
        <f aca="false">E8*(1-Assumptions!B9)</f>
        <v>1152520.050535</v>
      </c>
      <c r="F10" s="19" t="n">
        <f aca="false">F8*(1-Assumptions!B9)</f>
        <v>1181333.05179837</v>
      </c>
    </row>
    <row r="11" customFormat="false" ht="15.75" hidden="false" customHeight="true" outlineLevel="0" collapsed="false">
      <c r="A11" s="20" t="s">
        <v>55</v>
      </c>
      <c r="B11" s="21" t="n">
        <f aca="false">B8-B10</f>
        <v>463050.56</v>
      </c>
      <c r="C11" s="21" t="n">
        <f aca="false">C8-C10</f>
        <v>474626.824</v>
      </c>
      <c r="D11" s="21" t="n">
        <f aca="false">D8-D10</f>
        <v>486492.4946</v>
      </c>
      <c r="E11" s="21" t="n">
        <f aca="false">E8-E10</f>
        <v>498654.806965</v>
      </c>
      <c r="F11" s="21" t="n">
        <f aca="false">F8-F10</f>
        <v>511121.177139125</v>
      </c>
    </row>
    <row r="12" customFormat="false" ht="15.75" hidden="false" customHeight="true" outlineLevel="0" collapsed="false">
      <c r="A12" s="22" t="s">
        <v>56</v>
      </c>
      <c r="B12" s="23" t="n">
        <f aca="false">B11/B8</f>
        <v>0.302</v>
      </c>
      <c r="C12" s="23" t="n">
        <f aca="false">C11/C8</f>
        <v>0.302</v>
      </c>
      <c r="D12" s="23" t="n">
        <f aca="false">D11/D8</f>
        <v>0.302</v>
      </c>
      <c r="E12" s="23" t="n">
        <f aca="false">E11/E8</f>
        <v>0.302</v>
      </c>
      <c r="F12" s="23" t="n">
        <f aca="false">F11/F8</f>
        <v>0.302</v>
      </c>
    </row>
    <row r="13" customFormat="false" ht="15" hidden="false" customHeight="true" outlineLevel="0" collapsed="false">
      <c r="A13" s="14" t="s">
        <v>57</v>
      </c>
      <c r="B13" s="14"/>
      <c r="C13" s="14"/>
      <c r="D13" s="14"/>
      <c r="E13" s="14"/>
      <c r="F13" s="14"/>
    </row>
    <row r="14" customFormat="false" ht="15.75" hidden="false" customHeight="true" outlineLevel="0" collapsed="false">
      <c r="A14" s="6" t="s">
        <v>58</v>
      </c>
      <c r="B14" s="19" t="n">
        <f aca="false">Assumptions!B18</f>
        <v>120000</v>
      </c>
      <c r="C14" s="19" t="n">
        <f aca="false">Assumptions!B18</f>
        <v>120000</v>
      </c>
      <c r="D14" s="19" t="n">
        <f aca="false">Assumptions!B18</f>
        <v>120000</v>
      </c>
      <c r="E14" s="19" t="n">
        <f aca="false">Assumptions!B18</f>
        <v>120000</v>
      </c>
      <c r="F14" s="19" t="n">
        <f aca="false">Assumptions!B18</f>
        <v>120000</v>
      </c>
    </row>
    <row r="15" customFormat="false" ht="15.75" hidden="false" customHeight="true" outlineLevel="0" collapsed="false">
      <c r="A15" s="6" t="s">
        <v>59</v>
      </c>
      <c r="B15" s="24" t="n">
        <f aca="false">Assumptions!B19</f>
        <v>18000</v>
      </c>
      <c r="C15" s="24" t="n">
        <f aca="false">Assumptions!B19</f>
        <v>18000</v>
      </c>
      <c r="D15" s="24" t="n">
        <f aca="false">Assumptions!B19</f>
        <v>18000</v>
      </c>
      <c r="E15" s="24" t="n">
        <f aca="false">Assumptions!B19</f>
        <v>18000</v>
      </c>
      <c r="F15" s="24" t="n">
        <f aca="false">Assumptions!B19</f>
        <v>18000</v>
      </c>
    </row>
    <row r="16" customFormat="false" ht="15.75" hidden="false" customHeight="true" outlineLevel="0" collapsed="false">
      <c r="A16" s="6" t="s">
        <v>60</v>
      </c>
      <c r="B16" s="19" t="n">
        <f aca="false">Assumptions!B20</f>
        <v>160000</v>
      </c>
      <c r="C16" s="19" t="n">
        <f aca="false">Assumptions!B20</f>
        <v>160000</v>
      </c>
      <c r="D16" s="19" t="n">
        <f aca="false">Assumptions!B20</f>
        <v>160000</v>
      </c>
      <c r="E16" s="19" t="n">
        <f aca="false">Assumptions!B20</f>
        <v>160000</v>
      </c>
      <c r="F16" s="19" t="n">
        <f aca="false">Assumptions!B20</f>
        <v>160000</v>
      </c>
    </row>
    <row r="17" customFormat="false" ht="15.75" hidden="false" customHeight="true" outlineLevel="0" collapsed="false">
      <c r="A17" s="6" t="s">
        <v>61</v>
      </c>
      <c r="B17" s="24" t="n">
        <f aca="false">B8*Assumptions!B10-Assumptions!B18-Assumptions!B19-Assumptions!B20</f>
        <v>50054.5600000001</v>
      </c>
      <c r="C17" s="24" t="n">
        <f aca="false">C8*Assumptions!B10-Assumptions!B18-Assumptions!B19-Assumptions!B20</f>
        <v>58755.924</v>
      </c>
      <c r="D17" s="24" t="n">
        <f aca="false">D8*Assumptions!B10-Assumptions!B18-Assumptions!B19-Assumptions!B20</f>
        <v>67674.8221</v>
      </c>
      <c r="E17" s="24" t="n">
        <f aca="false">E8*Assumptions!B10-Assumptions!B18-Assumptions!B19-Assumptions!B20</f>
        <v>76816.6926524999</v>
      </c>
      <c r="F17" s="24" t="n">
        <f aca="false">F8*Assumptions!B10-Assumptions!B18-Assumptions!B19-Assumptions!B20</f>
        <v>86187.1099688124</v>
      </c>
    </row>
    <row r="18" customFormat="false" ht="15.75" hidden="false" customHeight="true" outlineLevel="0" collapsed="false">
      <c r="A18" s="6" t="s">
        <v>62</v>
      </c>
      <c r="B18" s="19" t="n">
        <f aca="false">Assumptions!B21</f>
        <v>0.005</v>
      </c>
      <c r="C18" s="19" t="n">
        <f aca="false">Assumptions!B21</f>
        <v>0.005</v>
      </c>
      <c r="D18" s="19" t="n">
        <f aca="false">Assumptions!B21</f>
        <v>0.005</v>
      </c>
      <c r="E18" s="19" t="n">
        <f aca="false">Assumptions!B21</f>
        <v>0.005</v>
      </c>
      <c r="F18" s="19" t="n">
        <f aca="false">Assumptions!B21</f>
        <v>0.005</v>
      </c>
    </row>
    <row r="19" customFormat="false" ht="15.75" hidden="false" customHeight="true" outlineLevel="0" collapsed="false">
      <c r="A19" s="17" t="s">
        <v>63</v>
      </c>
      <c r="B19" s="18" t="n">
        <f aca="false">B14+B15+B16+B17+B18</f>
        <v>348054.565</v>
      </c>
      <c r="C19" s="18" t="n">
        <f aca="false">C14+C15+C16+C17+C18</f>
        <v>356755.929</v>
      </c>
      <c r="D19" s="18" t="n">
        <f aca="false">D14+D15+D16+D17+D18</f>
        <v>365674.8271</v>
      </c>
      <c r="E19" s="18" t="n">
        <f aca="false">E14+E15+E16+E17+E18</f>
        <v>374816.6976525</v>
      </c>
      <c r="F19" s="18" t="n">
        <f aca="false">F14+F15+F16+F17+F18</f>
        <v>384187.114968812</v>
      </c>
    </row>
    <row r="20" customFormat="false" ht="15" hidden="false" customHeight="true" outlineLevel="0" collapsed="false">
      <c r="A20" s="14" t="s">
        <v>64</v>
      </c>
      <c r="B20" s="14"/>
      <c r="C20" s="14"/>
      <c r="D20" s="14"/>
      <c r="E20" s="14"/>
      <c r="F20" s="14"/>
    </row>
    <row r="21" customFormat="false" ht="15.75" hidden="false" customHeight="true" outlineLevel="0" collapsed="false">
      <c r="A21" s="20" t="s">
        <v>65</v>
      </c>
      <c r="B21" s="21" t="n">
        <f aca="false">B11-B19</f>
        <v>114995.995</v>
      </c>
      <c r="C21" s="21" t="n">
        <f aca="false">C11-C19</f>
        <v>117870.895</v>
      </c>
      <c r="D21" s="21" t="n">
        <f aca="false">D11-D19</f>
        <v>120817.6675</v>
      </c>
      <c r="E21" s="21" t="n">
        <f aca="false">E11-E19</f>
        <v>123838.1093125</v>
      </c>
      <c r="F21" s="21" t="n">
        <f aca="false">F11-F19</f>
        <v>126934.062170312</v>
      </c>
    </row>
    <row r="22" customFormat="false" ht="15.75" hidden="false" customHeight="true" outlineLevel="0" collapsed="false">
      <c r="A22" s="6" t="s">
        <v>66</v>
      </c>
      <c r="B22" s="19" t="n">
        <f aca="false">MAX(B21*Assumptions!B24,0)</f>
        <v>25069.12691</v>
      </c>
      <c r="C22" s="19" t="n">
        <f aca="false">MAX(C21*Assumptions!B24,0)</f>
        <v>25695.85511</v>
      </c>
      <c r="D22" s="19" t="n">
        <f aca="false">MAX(D21*Assumptions!B24,0)</f>
        <v>26338.251515</v>
      </c>
      <c r="E22" s="19" t="n">
        <f aca="false">MAX(E21*Assumptions!B24,0)</f>
        <v>26996.707830125</v>
      </c>
      <c r="F22" s="19" t="n">
        <f aca="false">MAX(F21*Assumptions!B24,0)</f>
        <v>27671.6255531281</v>
      </c>
    </row>
    <row r="23" customFormat="false" ht="15.75" hidden="false" customHeight="true" outlineLevel="0" collapsed="false">
      <c r="A23" s="17" t="s">
        <v>67</v>
      </c>
      <c r="B23" s="18" t="n">
        <f aca="false">B21-B22</f>
        <v>89926.86809</v>
      </c>
      <c r="C23" s="18" t="n">
        <f aca="false">C21-C22</f>
        <v>92175.03989</v>
      </c>
      <c r="D23" s="18" t="n">
        <f aca="false">D21-D22</f>
        <v>94479.4159850001</v>
      </c>
      <c r="E23" s="18" t="n">
        <f aca="false">E21-E22</f>
        <v>96841.401482375</v>
      </c>
      <c r="F23" s="18" t="n">
        <f aca="false">F21-F22</f>
        <v>99262.4366171843</v>
      </c>
    </row>
    <row r="24" customFormat="false" ht="15.75" hidden="false" customHeight="true" outlineLevel="0" collapsed="false">
      <c r="A24" s="20" t="s">
        <v>68</v>
      </c>
      <c r="B24" s="25" t="n">
        <f aca="false">B21+B18</f>
        <v>114996</v>
      </c>
      <c r="C24" s="25" t="n">
        <f aca="false">C21+C18</f>
        <v>117870.9</v>
      </c>
      <c r="D24" s="25" t="n">
        <f aca="false">D21+D18</f>
        <v>120817.6725</v>
      </c>
      <c r="E24" s="25" t="n">
        <f aca="false">E21+E18</f>
        <v>123838.1143125</v>
      </c>
      <c r="F24" s="25" t="n">
        <f aca="false">F21+F18</f>
        <v>126934.067170312</v>
      </c>
    </row>
    <row r="25" customFormat="false" ht="15.75" hidden="false" customHeight="true" outlineLevel="0" collapsed="false">
      <c r="A25" s="22" t="s">
        <v>69</v>
      </c>
      <c r="B25" s="23" t="n">
        <f aca="false">B24/B8</f>
        <v>0.075</v>
      </c>
      <c r="C25" s="23" t="n">
        <f aca="false">C24/C8</f>
        <v>0.075</v>
      </c>
      <c r="D25" s="23" t="n">
        <f aca="false">D24/D8</f>
        <v>0.0750000000000001</v>
      </c>
      <c r="E25" s="23" t="n">
        <f aca="false">E24/E8</f>
        <v>0.0750000000000001</v>
      </c>
      <c r="F25" s="23" t="n">
        <f aca="false">F24/F8</f>
        <v>0.075</v>
      </c>
    </row>
    <row r="26" customFormat="false" ht="15" hidden="false" customHeight="true" outlineLevel="0" collapsed="false">
      <c r="A26" s="14" t="s">
        <v>70</v>
      </c>
      <c r="B26" s="14"/>
      <c r="C26" s="14"/>
      <c r="D26" s="14"/>
      <c r="E26" s="14"/>
      <c r="F26" s="14"/>
    </row>
    <row r="27" customFormat="false" ht="15.75" hidden="false" customHeight="true" outlineLevel="0" collapsed="false">
      <c r="A27" s="6" t="s">
        <v>71</v>
      </c>
      <c r="B27" s="26" t="n">
        <f aca="false">B23</f>
        <v>89926.86809</v>
      </c>
      <c r="C27" s="26" t="n">
        <f aca="false">C23</f>
        <v>92175.03989</v>
      </c>
      <c r="D27" s="26" t="n">
        <f aca="false">D23</f>
        <v>94479.4159850001</v>
      </c>
      <c r="E27" s="26" t="n">
        <f aca="false">E23</f>
        <v>96841.401482375</v>
      </c>
      <c r="F27" s="26" t="n">
        <f aca="false">F23</f>
        <v>99262.4366171843</v>
      </c>
    </row>
    <row r="28" customFormat="false" ht="15.75" hidden="false" customHeight="true" outlineLevel="0" collapsed="false">
      <c r="A28" s="6" t="s">
        <v>72</v>
      </c>
      <c r="B28" s="19" t="n">
        <f aca="false">Assumptions!B18</f>
        <v>120000</v>
      </c>
      <c r="C28" s="19" t="n">
        <f aca="false">Assumptions!B18</f>
        <v>120000</v>
      </c>
      <c r="D28" s="19" t="n">
        <f aca="false">Assumptions!B18</f>
        <v>120000</v>
      </c>
      <c r="E28" s="19" t="n">
        <f aca="false">Assumptions!B18</f>
        <v>120000</v>
      </c>
      <c r="F28" s="19" t="n">
        <f aca="false">Assumptions!B18</f>
        <v>120000</v>
      </c>
    </row>
    <row r="29" customFormat="false" ht="15.75" hidden="false" customHeight="true" outlineLevel="0" collapsed="false">
      <c r="A29" s="6" t="s">
        <v>73</v>
      </c>
      <c r="B29" s="24" t="n">
        <f aca="false">-Assumptions!B16</f>
        <v>-350000.025</v>
      </c>
      <c r="C29" s="26" t="n">
        <v>0</v>
      </c>
      <c r="D29" s="26" t="n">
        <v>0</v>
      </c>
      <c r="E29" s="26" t="n">
        <v>0</v>
      </c>
      <c r="F29" s="26" t="n">
        <v>0</v>
      </c>
    </row>
    <row r="30" customFormat="false" ht="15.75" hidden="false" customHeight="true" outlineLevel="0" collapsed="false">
      <c r="A30" s="17" t="s">
        <v>74</v>
      </c>
      <c r="B30" s="18" t="n">
        <f aca="false">B23+B28+B29</f>
        <v>-140073.15691</v>
      </c>
      <c r="C30" s="18" t="n">
        <f aca="false">C23+C28+C29</f>
        <v>212175.03989</v>
      </c>
      <c r="D30" s="18" t="n">
        <f aca="false">D23+D28+D29</f>
        <v>214479.415985</v>
      </c>
      <c r="E30" s="18" t="n">
        <f aca="false">E23+E28+E29</f>
        <v>216841.401482375</v>
      </c>
      <c r="F30" s="18" t="n">
        <f aca="false">F23+F28+F29</f>
        <v>219262.436617184</v>
      </c>
    </row>
  </sheetData>
  <mergeCells count="7">
    <mergeCell ref="A1:F1"/>
    <mergeCell ref="A2:F2"/>
    <mergeCell ref="A5:F5"/>
    <mergeCell ref="A9:F9"/>
    <mergeCell ref="A13:F13"/>
    <mergeCell ref="A20:F20"/>
    <mergeCell ref="A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8"/>
    <col collapsed="false" customWidth="true" hidden="false" outlineLevel="0" max="3" min="3" style="1" width="28"/>
  </cols>
  <sheetData>
    <row r="1" customFormat="false" ht="25.5" hidden="false" customHeight="true" outlineLevel="0" collapsed="false">
      <c r="A1" s="13" t="s">
        <v>75</v>
      </c>
      <c r="B1" s="13"/>
      <c r="C1" s="13"/>
    </row>
    <row r="2" customFormat="false" ht="15" hidden="false" customHeight="true" outlineLevel="0" collapsed="false">
      <c r="A2" s="3" t="s">
        <v>76</v>
      </c>
      <c r="B2" s="3"/>
      <c r="C2" s="3"/>
    </row>
    <row r="3" customFormat="false" ht="6" hidden="false" customHeight="true" outlineLevel="0" collapsed="false"/>
    <row r="4" customFormat="false" ht="19.5" hidden="false" customHeight="true" outlineLevel="0" collapsed="false">
      <c r="A4" s="4" t="s">
        <v>77</v>
      </c>
      <c r="B4" s="4" t="s">
        <v>3</v>
      </c>
      <c r="C4" s="4" t="s">
        <v>78</v>
      </c>
    </row>
    <row r="5" customFormat="false" ht="16.5" hidden="false" customHeight="true" outlineLevel="0" collapsed="false">
      <c r="A5" s="5" t="s">
        <v>79</v>
      </c>
      <c r="B5" s="5"/>
      <c r="C5" s="5"/>
    </row>
    <row r="6" customFormat="false" ht="16.5" hidden="false" customHeight="true" outlineLevel="0" collapsed="false">
      <c r="A6" s="6" t="s">
        <v>80</v>
      </c>
      <c r="B6" s="19" t="n">
        <f aca="false">-Assumptions!B14</f>
        <v>-80000</v>
      </c>
      <c r="C6" s="8" t="s">
        <v>81</v>
      </c>
    </row>
    <row r="7" customFormat="false" ht="16.5" hidden="false" customHeight="true" outlineLevel="0" collapsed="false">
      <c r="A7" s="6" t="s">
        <v>82</v>
      </c>
      <c r="B7" s="27" t="n">
        <f aca="false">Assumptions!B19</f>
        <v>18000</v>
      </c>
      <c r="C7" s="8" t="s">
        <v>83</v>
      </c>
    </row>
    <row r="8" customFormat="false" ht="16.5" hidden="false" customHeight="true" outlineLevel="0" collapsed="false">
      <c r="A8" s="5" t="s">
        <v>84</v>
      </c>
      <c r="B8" s="5"/>
      <c r="C8" s="5"/>
    </row>
    <row r="9" customFormat="false" ht="16.5" hidden="false" customHeight="true" outlineLevel="0" collapsed="false">
      <c r="A9" s="6" t="s">
        <v>85</v>
      </c>
      <c r="B9" s="24" t="n">
        <f aca="false">'5-Year Pro-Forma P&amp;L'!B30</f>
        <v>-140073.15691</v>
      </c>
      <c r="C9" s="8"/>
    </row>
    <row r="10" customFormat="false" ht="16.5" hidden="false" customHeight="true" outlineLevel="0" collapsed="false">
      <c r="A10" s="6" t="s">
        <v>86</v>
      </c>
      <c r="B10" s="19" t="n">
        <f aca="false">'5-Year Pro-Forma P&amp;L'!C30</f>
        <v>212175.03989</v>
      </c>
      <c r="C10" s="8"/>
    </row>
    <row r="11" customFormat="false" ht="16.5" hidden="false" customHeight="true" outlineLevel="0" collapsed="false">
      <c r="A11" s="6" t="s">
        <v>87</v>
      </c>
      <c r="B11" s="24" t="n">
        <f aca="false">'5-Year Pro-Forma P&amp;L'!D30</f>
        <v>214479.415985</v>
      </c>
      <c r="C11" s="8"/>
    </row>
    <row r="12" customFormat="false" ht="16.5" hidden="false" customHeight="true" outlineLevel="0" collapsed="false">
      <c r="A12" s="6" t="s">
        <v>88</v>
      </c>
      <c r="B12" s="19" t="n">
        <f aca="false">'5-Year Pro-Forma P&amp;L'!E30</f>
        <v>216841.401482375</v>
      </c>
      <c r="C12" s="8"/>
    </row>
    <row r="13" customFormat="false" ht="16.5" hidden="false" customHeight="true" outlineLevel="0" collapsed="false">
      <c r="A13" s="6" t="s">
        <v>89</v>
      </c>
      <c r="B13" s="24" t="n">
        <f aca="false">'5-Year Pro-Forma P&amp;L'!F30</f>
        <v>219262.436617184</v>
      </c>
      <c r="C13" s="8"/>
    </row>
    <row r="14" customFormat="false" ht="16.5" hidden="false" customHeight="true" outlineLevel="0" collapsed="false">
      <c r="A14" s="5" t="s">
        <v>90</v>
      </c>
      <c r="B14" s="5"/>
      <c r="C14" s="5"/>
    </row>
    <row r="15" customFormat="false" ht="16.5" hidden="false" customHeight="true" outlineLevel="0" collapsed="false">
      <c r="A15" s="6" t="s">
        <v>91</v>
      </c>
      <c r="B15" s="28" t="n">
        <f aca="false">NPV(Assumptions!B19,B9,B10,B11,B12,B13)+B6</f>
        <v>-80007.7807549248</v>
      </c>
      <c r="C15" s="8" t="s">
        <v>92</v>
      </c>
    </row>
    <row r="16" customFormat="false" ht="16.5" hidden="false" customHeight="true" outlineLevel="0" collapsed="false">
      <c r="A16" s="6" t="s">
        <v>93</v>
      </c>
      <c r="B16" s="29" t="str">
        <f aca="false">IFERROR(IRR((B6~B9~B10~B11~B12~B13),0.1),"Check inputs")</f>
        <v>Check inputs</v>
      </c>
      <c r="C16" s="8" t="s">
        <v>94</v>
      </c>
    </row>
    <row r="17" customFormat="false" ht="16.5" hidden="false" customHeight="true" outlineLevel="0" collapsed="false">
      <c r="A17" s="6" t="s">
        <v>95</v>
      </c>
      <c r="B17" s="30" t="n">
        <f aca="false">(-B6)/AVERAGE(B9,B10,B11,B12,B13)</f>
        <v>0.553491388552338</v>
      </c>
      <c r="C17" s="8" t="s">
        <v>96</v>
      </c>
    </row>
    <row r="18" customFormat="false" ht="16.5" hidden="false" customHeight="true" outlineLevel="0" collapsed="false">
      <c r="A18" s="6" t="s">
        <v>97</v>
      </c>
      <c r="B18" s="29" t="n">
        <f aca="false">SUM(B9,B10,B11,B12,B13)/(-B6)</f>
        <v>9.03356421330699</v>
      </c>
      <c r="C18" s="8" t="s">
        <v>98</v>
      </c>
    </row>
  </sheetData>
  <mergeCells count="5">
    <mergeCell ref="A1:C1"/>
    <mergeCell ref="A2:C2"/>
    <mergeCell ref="A5:C5"/>
    <mergeCell ref="A8:C8"/>
    <mergeCell ref="A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5" min="2" style="1" width="16"/>
  </cols>
  <sheetData>
    <row r="1" customFormat="false" ht="25.5" hidden="false" customHeight="true" outlineLevel="0" collapsed="false">
      <c r="A1" s="13" t="s">
        <v>99</v>
      </c>
      <c r="B1" s="13"/>
      <c r="C1" s="13"/>
      <c r="D1" s="13"/>
      <c r="E1" s="13"/>
    </row>
    <row r="2" customFormat="false" ht="15" hidden="false" customHeight="true" outlineLevel="0" collapsed="false">
      <c r="A2" s="3" t="s">
        <v>100</v>
      </c>
      <c r="B2" s="3"/>
      <c r="C2" s="3"/>
      <c r="D2" s="3"/>
      <c r="E2" s="3"/>
    </row>
    <row r="3" customFormat="false" ht="6" hidden="false" customHeight="true" outlineLevel="0" collapsed="false"/>
    <row r="4" customFormat="false" ht="19.5" hidden="false" customHeight="true" outlineLevel="0" collapsed="false">
      <c r="A4" s="4" t="s">
        <v>101</v>
      </c>
      <c r="B4" s="4" t="s">
        <v>102</v>
      </c>
      <c r="C4" s="4" t="s">
        <v>103</v>
      </c>
      <c r="D4" s="4" t="s">
        <v>104</v>
      </c>
      <c r="E4" s="4" t="s">
        <v>78</v>
      </c>
    </row>
    <row r="5" customFormat="false" ht="16.5" hidden="false" customHeight="true" outlineLevel="0" collapsed="false">
      <c r="A5" s="5" t="s">
        <v>105</v>
      </c>
      <c r="B5" s="5"/>
      <c r="C5" s="5"/>
      <c r="D5" s="5"/>
      <c r="E5" s="5"/>
    </row>
    <row r="6" customFormat="false" ht="16.5" hidden="false" customHeight="true" outlineLevel="0" collapsed="false">
      <c r="A6" s="6" t="s">
        <v>106</v>
      </c>
      <c r="B6" s="31" t="s">
        <v>107</v>
      </c>
      <c r="C6" s="32" t="s">
        <v>108</v>
      </c>
      <c r="D6" s="33" t="s">
        <v>109</v>
      </c>
      <c r="E6" s="8" t="s">
        <v>110</v>
      </c>
    </row>
    <row r="7" customFormat="false" ht="16.5" hidden="false" customHeight="true" outlineLevel="0" collapsed="false">
      <c r="A7" s="6" t="s">
        <v>111</v>
      </c>
      <c r="B7" s="31" t="s">
        <v>112</v>
      </c>
      <c r="C7" s="32" t="s">
        <v>113</v>
      </c>
      <c r="D7" s="33" t="s">
        <v>114</v>
      </c>
      <c r="E7" s="8" t="s">
        <v>115</v>
      </c>
    </row>
    <row r="8" customFormat="false" ht="16.5" hidden="false" customHeight="true" outlineLevel="0" collapsed="false">
      <c r="A8" s="6" t="s">
        <v>12</v>
      </c>
      <c r="B8" s="31" t="s">
        <v>116</v>
      </c>
      <c r="C8" s="32" t="s">
        <v>117</v>
      </c>
      <c r="D8" s="33" t="s">
        <v>118</v>
      </c>
      <c r="E8" s="8" t="s">
        <v>119</v>
      </c>
    </row>
    <row r="9" customFormat="false" ht="16.5" hidden="false" customHeight="true" outlineLevel="0" collapsed="false">
      <c r="A9" s="6" t="s">
        <v>120</v>
      </c>
      <c r="B9" s="31" t="s">
        <v>121</v>
      </c>
      <c r="C9" s="32" t="s">
        <v>122</v>
      </c>
      <c r="D9" s="33" t="s">
        <v>123</v>
      </c>
      <c r="E9" s="8" t="s">
        <v>124</v>
      </c>
    </row>
    <row r="10" customFormat="false" ht="16.5" hidden="false" customHeight="true" outlineLevel="0" collapsed="false">
      <c r="A10" s="6" t="s">
        <v>125</v>
      </c>
      <c r="B10" s="31" t="s">
        <v>126</v>
      </c>
      <c r="C10" s="32" t="s">
        <v>127</v>
      </c>
      <c r="D10" s="33" t="s">
        <v>128</v>
      </c>
      <c r="E10" s="8" t="s">
        <v>129</v>
      </c>
    </row>
    <row r="11" customFormat="false" ht="16.5" hidden="false" customHeight="true" outlineLevel="0" collapsed="false">
      <c r="A11" s="34"/>
      <c r="B11" s="34"/>
      <c r="C11" s="34"/>
      <c r="D11" s="34"/>
      <c r="E11" s="34"/>
    </row>
    <row r="12" customFormat="false" ht="16.5" hidden="false" customHeight="true" outlineLevel="0" collapsed="false">
      <c r="A12" s="5" t="s">
        <v>130</v>
      </c>
      <c r="B12" s="5"/>
      <c r="C12" s="5"/>
      <c r="D12" s="5"/>
      <c r="E12" s="5"/>
    </row>
    <row r="13" customFormat="false" ht="16.5" hidden="false" customHeight="true" outlineLevel="0" collapsed="false">
      <c r="A13" s="6" t="s">
        <v>131</v>
      </c>
      <c r="B13" s="31" t="s">
        <v>132</v>
      </c>
      <c r="C13" s="32" t="s">
        <v>133</v>
      </c>
      <c r="D13" s="33" t="s">
        <v>134</v>
      </c>
      <c r="E13" s="8" t="s">
        <v>135</v>
      </c>
    </row>
    <row r="14" customFormat="false" ht="16.5" hidden="false" customHeight="true" outlineLevel="0" collapsed="false">
      <c r="A14" s="6" t="s">
        <v>136</v>
      </c>
      <c r="B14" s="31" t="s">
        <v>137</v>
      </c>
      <c r="C14" s="32" t="s">
        <v>138</v>
      </c>
      <c r="D14" s="33" t="s">
        <v>139</v>
      </c>
      <c r="E14" s="8" t="s">
        <v>140</v>
      </c>
    </row>
    <row r="15" customFormat="false" ht="16.5" hidden="false" customHeight="true" outlineLevel="0" collapsed="false">
      <c r="A15" s="6" t="s">
        <v>141</v>
      </c>
      <c r="B15" s="31" t="s">
        <v>142</v>
      </c>
      <c r="C15" s="32" t="s">
        <v>143</v>
      </c>
      <c r="D15" s="33" t="s">
        <v>144</v>
      </c>
      <c r="E15" s="8" t="s">
        <v>145</v>
      </c>
    </row>
    <row r="16" customFormat="false" ht="16.5" hidden="false" customHeight="true" outlineLevel="0" collapsed="false">
      <c r="A16" s="6" t="s">
        <v>146</v>
      </c>
      <c r="B16" s="31" t="s">
        <v>147</v>
      </c>
      <c r="C16" s="32" t="s">
        <v>148</v>
      </c>
      <c r="D16" s="33" t="s">
        <v>149</v>
      </c>
      <c r="E16" s="8" t="s">
        <v>150</v>
      </c>
    </row>
    <row r="17" customFormat="false" ht="16.5" hidden="false" customHeight="true" outlineLevel="0" collapsed="false">
      <c r="A17" s="6" t="s">
        <v>151</v>
      </c>
      <c r="B17" s="31" t="s">
        <v>152</v>
      </c>
      <c r="C17" s="32" t="s">
        <v>153</v>
      </c>
      <c r="D17" s="33" t="s">
        <v>154</v>
      </c>
      <c r="E17" s="8"/>
    </row>
    <row r="18" customFormat="false" ht="16.5" hidden="false" customHeight="true" outlineLevel="0" collapsed="false">
      <c r="A18" s="6" t="s">
        <v>155</v>
      </c>
      <c r="B18" s="31" t="s">
        <v>156</v>
      </c>
      <c r="C18" s="32" t="s">
        <v>157</v>
      </c>
      <c r="D18" s="33" t="s">
        <v>157</v>
      </c>
      <c r="E18" s="8" t="s">
        <v>158</v>
      </c>
    </row>
  </sheetData>
  <mergeCells count="4">
    <mergeCell ref="A1:E1"/>
    <mergeCell ref="A2:E2"/>
    <mergeCell ref="A5:E5"/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30" hidden="false" customHeight="true" outlineLevel="0" collapsed="false">
      <c r="A1" s="35" t="s">
        <v>159</v>
      </c>
    </row>
    <row r="2" customFormat="false" ht="18" hidden="false" customHeight="true" outlineLevel="0" collapsed="false">
      <c r="A2" s="36" t="s">
        <v>160</v>
      </c>
    </row>
    <row r="3" customFormat="false" ht="15.75" hidden="false" customHeight="true" outlineLevel="0" collapsed="false">
      <c r="A3" s="37" t="s">
        <v>161</v>
      </c>
    </row>
    <row r="4" customFormat="false" ht="15.75" hidden="false" customHeight="true" outlineLevel="0" collapsed="false">
      <c r="A4" s="38"/>
    </row>
    <row r="5" customFormat="false" ht="18" hidden="false" customHeight="true" outlineLevel="0" collapsed="false">
      <c r="A5" s="36" t="s">
        <v>162</v>
      </c>
    </row>
    <row r="6" customFormat="false" ht="15.75" hidden="false" customHeight="true" outlineLevel="0" collapsed="false">
      <c r="A6" s="37" t="s">
        <v>163</v>
      </c>
    </row>
    <row r="7" customFormat="false" ht="15.75" hidden="false" customHeight="true" outlineLevel="0" collapsed="false">
      <c r="A7" s="38"/>
    </row>
    <row r="8" customFormat="false" ht="18" hidden="false" customHeight="true" outlineLevel="0" collapsed="false">
      <c r="A8" s="36" t="s">
        <v>164</v>
      </c>
    </row>
    <row r="9" customFormat="false" ht="15.75" hidden="false" customHeight="true" outlineLevel="0" collapsed="false">
      <c r="A9" s="38" t="s">
        <v>165</v>
      </c>
    </row>
    <row r="10" customFormat="false" ht="15.75" hidden="false" customHeight="true" outlineLevel="0" collapsed="false">
      <c r="A10" s="38" t="s">
        <v>166</v>
      </c>
    </row>
    <row r="11" customFormat="false" ht="15.75" hidden="false" customHeight="true" outlineLevel="0" collapsed="false">
      <c r="A11" s="38" t="s">
        <v>167</v>
      </c>
    </row>
    <row r="12" customFormat="false" ht="15.75" hidden="false" customHeight="true" outlineLevel="0" collapsed="false">
      <c r="A12" s="38" t="s">
        <v>168</v>
      </c>
    </row>
    <row r="13" customFormat="false" ht="15.75" hidden="false" customHeight="true" outlineLevel="0" collapsed="false">
      <c r="A13" s="38"/>
    </row>
    <row r="14" customFormat="false" ht="18" hidden="false" customHeight="true" outlineLevel="0" collapsed="false">
      <c r="A14" s="36" t="s">
        <v>169</v>
      </c>
    </row>
    <row r="15" customFormat="false" ht="15.75" hidden="false" customHeight="true" outlineLevel="0" collapsed="false">
      <c r="A15" s="38" t="s">
        <v>170</v>
      </c>
    </row>
    <row r="16" customFormat="false" ht="15.75" hidden="false" customHeight="true" outlineLevel="0" collapsed="false">
      <c r="A16" s="38" t="s">
        <v>171</v>
      </c>
    </row>
    <row r="17" customFormat="false" ht="15.75" hidden="false" customHeight="true" outlineLevel="0" collapsed="false">
      <c r="A17" s="38" t="s">
        <v>172</v>
      </c>
    </row>
    <row r="18" customFormat="false" ht="15.75" hidden="false" customHeight="true" outlineLevel="0" collapsed="false">
      <c r="A18" s="38" t="s">
        <v>173</v>
      </c>
    </row>
    <row r="19" customFormat="false" ht="15.75" hidden="false" customHeight="true" outlineLevel="0" collapsed="false">
      <c r="A19" s="38"/>
    </row>
    <row r="20" customFormat="false" ht="18" hidden="false" customHeight="true" outlineLevel="0" collapsed="false">
      <c r="A20" s="36" t="s">
        <v>174</v>
      </c>
    </row>
    <row r="21" customFormat="false" ht="15.75" hidden="false" customHeight="true" outlineLevel="0" collapsed="false">
      <c r="A21" s="39" t="s">
        <v>175</v>
      </c>
    </row>
    <row r="22" customFormat="false" ht="15.75" hidden="false" customHeight="true" outlineLevel="0" collapsed="false">
      <c r="A22" s="39" t="s">
        <v>176</v>
      </c>
    </row>
    <row r="23" customFormat="false" ht="15.75" hidden="false" customHeight="true" outlineLevel="0" collapsed="false">
      <c r="A23" s="39" t="s">
        <v>177</v>
      </c>
    </row>
    <row r="24" customFormat="false" ht="15.75" hidden="false" customHeight="true" outlineLevel="0" collapsed="false">
      <c r="A24" s="38"/>
    </row>
    <row r="25" customFormat="false" ht="18" hidden="false" customHeight="true" outlineLevel="0" collapsed="false">
      <c r="A25" s="36" t="s">
        <v>178</v>
      </c>
    </row>
    <row r="26" customFormat="false" ht="15.75" hidden="false" customHeight="true" outlineLevel="0" collapsed="false">
      <c r="A26" s="37" t="s">
        <v>179</v>
      </c>
    </row>
    <row r="27" customFormat="false" ht="15.75" hidden="false" customHeight="true" outlineLevel="0" collapsed="false">
      <c r="A27" s="37" t="s">
        <v>180</v>
      </c>
    </row>
    <row r="28" customFormat="false" ht="15.75" hidden="false" customHeight="true" outlineLevel="0" collapsed="false">
      <c r="A28" s="38"/>
    </row>
    <row r="29" customFormat="false" ht="15.75" hidden="false" customHeight="true" outlineLevel="0" collapsed="false">
      <c r="A29" s="40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2026-06-11T17:38:09Z</dcterms:created>
  <dc:creator>openpyxl</dc:creator>
  <dc:description/>
  <dc:language>en-US</dc:language>
  <cp:lastModifiedBy/>
  <dcterms:modified xsi:type="dcterms:W3CDTF">2026-06-11T17:39:23Z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